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saveExternalLinkValues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Proc-Store\"/>
    </mc:Choice>
  </mc:AlternateContent>
  <xr:revisionPtr revIDLastSave="0" documentId="8_{ECAA9952-86FC-4E2F-8818-0C88F4E404EC}" xr6:coauthVersionLast="45" xr6:coauthVersionMax="45" xr10:uidLastSave="{00000000-0000-0000-0000-000000000000}"/>
  <bookViews>
    <workbookView xWindow="-120" yWindow="-120" windowWidth="15600" windowHeight="11160"/>
  </bookViews>
  <sheets>
    <sheet name="26 9 2023" sheetId="1" r:id="rId1"/>
    <sheet name="Compatibility Report" sheetId="2" r:id="rId2"/>
  </sheets>
  <definedNames>
    <definedName name="_xlnm._FilterDatabase" localSheetId="0" hidden="1">'26 9 2023'!$A$1:$K$441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131" i="1"/>
  <c r="G343" i="1"/>
  <c r="H343" i="1" s="1"/>
  <c r="G81" i="1"/>
  <c r="H81" i="1"/>
  <c r="G80" i="1"/>
  <c r="H80" i="1" s="1"/>
  <c r="F439" i="1"/>
  <c r="G439" i="1" s="1"/>
  <c r="H439" i="1" s="1"/>
  <c r="F438" i="1"/>
  <c r="G438" i="1"/>
  <c r="H438" i="1" s="1"/>
  <c r="F437" i="1"/>
  <c r="G437" i="1" s="1"/>
  <c r="H437" i="1" s="1"/>
  <c r="F436" i="1"/>
  <c r="G436" i="1" s="1"/>
  <c r="H436" i="1" s="1"/>
  <c r="F435" i="1"/>
  <c r="G435" i="1" s="1"/>
  <c r="H435" i="1" s="1"/>
  <c r="F433" i="1"/>
  <c r="G433" i="1"/>
  <c r="H433" i="1" s="1"/>
  <c r="F430" i="1"/>
  <c r="G430" i="1" s="1"/>
  <c r="H430" i="1" s="1"/>
  <c r="F429" i="1"/>
  <c r="G429" i="1" s="1"/>
  <c r="H429" i="1" s="1"/>
  <c r="F428" i="1"/>
  <c r="G428" i="1" s="1"/>
  <c r="H428" i="1" s="1"/>
  <c r="F426" i="1"/>
  <c r="G426" i="1"/>
  <c r="H426" i="1" s="1"/>
  <c r="F424" i="1"/>
  <c r="G424" i="1" s="1"/>
  <c r="H424" i="1" s="1"/>
  <c r="F423" i="1"/>
  <c r="G423" i="1" s="1"/>
  <c r="H423" i="1" s="1"/>
  <c r="F422" i="1"/>
  <c r="G422" i="1" s="1"/>
  <c r="H422" i="1" s="1"/>
  <c r="F420" i="1"/>
  <c r="G420" i="1"/>
  <c r="H420" i="1" s="1"/>
  <c r="F416" i="1"/>
  <c r="G416" i="1" s="1"/>
  <c r="H416" i="1" s="1"/>
  <c r="F415" i="1"/>
  <c r="G415" i="1" s="1"/>
  <c r="H415" i="1" s="1"/>
  <c r="F413" i="1"/>
  <c r="G413" i="1" s="1"/>
  <c r="H413" i="1" s="1"/>
  <c r="F411" i="1"/>
  <c r="G411" i="1"/>
  <c r="H411" i="1" s="1"/>
  <c r="F410" i="1"/>
  <c r="G410" i="1" s="1"/>
  <c r="H410" i="1" s="1"/>
  <c r="F409" i="1"/>
  <c r="G409" i="1" s="1"/>
  <c r="H409" i="1" s="1"/>
  <c r="F408" i="1"/>
  <c r="G408" i="1" s="1"/>
  <c r="H408" i="1" s="1"/>
  <c r="F407" i="1"/>
  <c r="G407" i="1"/>
  <c r="H407" i="1" s="1"/>
  <c r="F406" i="1"/>
  <c r="G406" i="1" s="1"/>
  <c r="H406" i="1" s="1"/>
  <c r="F405" i="1"/>
  <c r="G405" i="1" s="1"/>
  <c r="H405" i="1" s="1"/>
  <c r="F404" i="1"/>
  <c r="G404" i="1" s="1"/>
  <c r="H404" i="1" s="1"/>
  <c r="F398" i="1"/>
  <c r="G398" i="1"/>
  <c r="H398" i="1" s="1"/>
  <c r="F397" i="1"/>
  <c r="G397" i="1" s="1"/>
  <c r="H397" i="1" s="1"/>
  <c r="F396" i="1"/>
  <c r="G396" i="1" s="1"/>
  <c r="H396" i="1" s="1"/>
  <c r="F395" i="1"/>
  <c r="G395" i="1" s="1"/>
  <c r="H395" i="1" s="1"/>
  <c r="F394" i="1"/>
  <c r="G394" i="1"/>
  <c r="H394" i="1" s="1"/>
  <c r="F393" i="1"/>
  <c r="G393" i="1" s="1"/>
  <c r="H393" i="1" s="1"/>
  <c r="F391" i="1"/>
  <c r="G391" i="1" s="1"/>
  <c r="H391" i="1" s="1"/>
  <c r="F389" i="1"/>
  <c r="G389" i="1" s="1"/>
  <c r="H389" i="1" s="1"/>
  <c r="F388" i="1"/>
  <c r="G388" i="1"/>
  <c r="H388" i="1" s="1"/>
  <c r="F387" i="1"/>
  <c r="G387" i="1" s="1"/>
  <c r="H387" i="1" s="1"/>
  <c r="F385" i="1"/>
  <c r="G385" i="1" s="1"/>
  <c r="H385" i="1" s="1"/>
  <c r="F384" i="1"/>
  <c r="G384" i="1" s="1"/>
  <c r="H384" i="1" s="1"/>
  <c r="F383" i="1"/>
  <c r="G383" i="1"/>
  <c r="H383" i="1" s="1"/>
  <c r="F382" i="1"/>
  <c r="G382" i="1" s="1"/>
  <c r="H382" i="1" s="1"/>
  <c r="F381" i="1"/>
  <c r="G381" i="1" s="1"/>
  <c r="H381" i="1" s="1"/>
  <c r="F378" i="1"/>
  <c r="G378" i="1" s="1"/>
  <c r="H378" i="1" s="1"/>
  <c r="F377" i="1"/>
  <c r="G377" i="1"/>
  <c r="H377" i="1" s="1"/>
  <c r="F376" i="1"/>
  <c r="G376" i="1" s="1"/>
  <c r="H376" i="1" s="1"/>
  <c r="F373" i="1"/>
  <c r="G373" i="1" s="1"/>
  <c r="H373" i="1" s="1"/>
  <c r="F372" i="1"/>
  <c r="G372" i="1" s="1"/>
  <c r="H372" i="1" s="1"/>
  <c r="F371" i="1"/>
  <c r="G371" i="1"/>
  <c r="H371" i="1" s="1"/>
  <c r="F370" i="1"/>
  <c r="G370" i="1" s="1"/>
  <c r="H370" i="1" s="1"/>
  <c r="F369" i="1"/>
  <c r="G369" i="1" s="1"/>
  <c r="H369" i="1" s="1"/>
  <c r="F368" i="1"/>
  <c r="G368" i="1" s="1"/>
  <c r="H368" i="1" s="1"/>
  <c r="F366" i="1"/>
  <c r="G366" i="1"/>
  <c r="H366" i="1" s="1"/>
  <c r="F365" i="1"/>
  <c r="G365" i="1" s="1"/>
  <c r="H365" i="1" s="1"/>
  <c r="F364" i="1"/>
  <c r="G364" i="1" s="1"/>
  <c r="H364" i="1" s="1"/>
  <c r="F361" i="1"/>
  <c r="G361" i="1" s="1"/>
  <c r="H361" i="1" s="1"/>
  <c r="F360" i="1"/>
  <c r="G360" i="1"/>
  <c r="H360" i="1" s="1"/>
  <c r="F357" i="1"/>
  <c r="G357" i="1" s="1"/>
  <c r="H357" i="1" s="1"/>
  <c r="F356" i="1"/>
  <c r="G356" i="1" s="1"/>
  <c r="H356" i="1" s="1"/>
  <c r="F355" i="1"/>
  <c r="G355" i="1" s="1"/>
  <c r="H355" i="1" s="1"/>
  <c r="F354" i="1"/>
  <c r="G354" i="1"/>
  <c r="H354" i="1" s="1"/>
  <c r="F353" i="1"/>
  <c r="G353" i="1" s="1"/>
  <c r="H353" i="1" s="1"/>
  <c r="F352" i="1"/>
  <c r="G352" i="1" s="1"/>
  <c r="H352" i="1" s="1"/>
  <c r="F351" i="1"/>
  <c r="G351" i="1" s="1"/>
  <c r="H351" i="1" s="1"/>
  <c r="F350" i="1"/>
  <c r="G350" i="1"/>
  <c r="H350" i="1" s="1"/>
  <c r="F349" i="1"/>
  <c r="G349" i="1" s="1"/>
  <c r="H349" i="1" s="1"/>
  <c r="F348" i="1"/>
  <c r="G348" i="1" s="1"/>
  <c r="H348" i="1" s="1"/>
  <c r="F347" i="1"/>
  <c r="G347" i="1" s="1"/>
  <c r="H347" i="1" s="1"/>
  <c r="F346" i="1"/>
  <c r="G346" i="1"/>
  <c r="H346" i="1" s="1"/>
  <c r="F342" i="1"/>
  <c r="G342" i="1" s="1"/>
  <c r="H342" i="1" s="1"/>
  <c r="F341" i="1"/>
  <c r="G341" i="1" s="1"/>
  <c r="H341" i="1" s="1"/>
  <c r="F340" i="1"/>
  <c r="G340" i="1" s="1"/>
  <c r="H340" i="1" s="1"/>
  <c r="F339" i="1"/>
  <c r="G339" i="1"/>
  <c r="H339" i="1" s="1"/>
  <c r="F336" i="1"/>
  <c r="G336" i="1"/>
  <c r="H336" i="1" s="1"/>
  <c r="F334" i="1"/>
  <c r="G334" i="1" s="1"/>
  <c r="H334" i="1" s="1"/>
  <c r="F333" i="1"/>
  <c r="G333" i="1" s="1"/>
  <c r="H333" i="1" s="1"/>
  <c r="F331" i="1"/>
  <c r="G331" i="1" s="1"/>
  <c r="H331" i="1" s="1"/>
  <c r="F330" i="1"/>
  <c r="G330" i="1" s="1"/>
  <c r="H330" i="1" s="1"/>
  <c r="F328" i="1"/>
  <c r="G328" i="1" s="1"/>
  <c r="H328" i="1" s="1"/>
  <c r="F324" i="1"/>
  <c r="G324" i="1" s="1"/>
  <c r="H324" i="1" s="1"/>
  <c r="F323" i="1"/>
  <c r="G323" i="1" s="1"/>
  <c r="H323" i="1" s="1"/>
  <c r="F321" i="1"/>
  <c r="G321" i="1" s="1"/>
  <c r="H321" i="1" s="1"/>
  <c r="F319" i="1"/>
  <c r="G319" i="1" s="1"/>
  <c r="H319" i="1" s="1"/>
  <c r="F318" i="1"/>
  <c r="G318" i="1" s="1"/>
  <c r="H318" i="1" s="1"/>
  <c r="F314" i="1"/>
  <c r="G314" i="1"/>
  <c r="H314" i="1" s="1"/>
  <c r="F313" i="1"/>
  <c r="G313" i="1"/>
  <c r="H313" i="1" s="1"/>
  <c r="F308" i="1"/>
  <c r="G308" i="1" s="1"/>
  <c r="H308" i="1" s="1"/>
  <c r="F307" i="1"/>
  <c r="G307" i="1" s="1"/>
  <c r="H307" i="1" s="1"/>
  <c r="F306" i="1"/>
  <c r="G306" i="1" s="1"/>
  <c r="H306" i="1" s="1"/>
  <c r="F305" i="1"/>
  <c r="G305" i="1" s="1"/>
  <c r="H305" i="1"/>
  <c r="F304" i="1"/>
  <c r="G304" i="1"/>
  <c r="H304" i="1" s="1"/>
  <c r="F301" i="1"/>
  <c r="G301" i="1" s="1"/>
  <c r="H301" i="1"/>
  <c r="F300" i="1"/>
  <c r="G300" i="1"/>
  <c r="H300" i="1" s="1"/>
  <c r="F299" i="1"/>
  <c r="G299" i="1"/>
  <c r="H299" i="1" s="1"/>
  <c r="F298" i="1"/>
  <c r="G298" i="1" s="1"/>
  <c r="H298" i="1"/>
  <c r="F297" i="1"/>
  <c r="G297" i="1"/>
  <c r="H297" i="1" s="1"/>
  <c r="F293" i="1"/>
  <c r="G293" i="1" s="1"/>
  <c r="H293" i="1"/>
  <c r="F292" i="1"/>
  <c r="G292" i="1"/>
  <c r="H292" i="1" s="1"/>
  <c r="F288" i="1"/>
  <c r="G288" i="1" s="1"/>
  <c r="H288" i="1"/>
  <c r="F283" i="1"/>
  <c r="G283" i="1"/>
  <c r="H283" i="1" s="1"/>
  <c r="F282" i="1"/>
  <c r="G282" i="1" s="1"/>
  <c r="H282" i="1" s="1"/>
  <c r="F280" i="1"/>
  <c r="G280" i="1" s="1"/>
  <c r="H280" i="1" s="1"/>
  <c r="F279" i="1"/>
  <c r="G279" i="1"/>
  <c r="H279" i="1" s="1"/>
  <c r="F278" i="1"/>
  <c r="G278" i="1" s="1"/>
  <c r="H278" i="1" s="1"/>
  <c r="F274" i="1"/>
  <c r="G274" i="1" s="1"/>
  <c r="H274" i="1" s="1"/>
  <c r="F273" i="1"/>
  <c r="G273" i="1" s="1"/>
  <c r="H273" i="1" s="1"/>
  <c r="F272" i="1"/>
  <c r="G272" i="1"/>
  <c r="H272" i="1" s="1"/>
  <c r="F271" i="1"/>
  <c r="G271" i="1" s="1"/>
  <c r="H271" i="1" s="1"/>
  <c r="F270" i="1"/>
  <c r="G270" i="1" s="1"/>
  <c r="H270" i="1" s="1"/>
  <c r="F269" i="1"/>
  <c r="G269" i="1" s="1"/>
  <c r="H269" i="1" s="1"/>
  <c r="F268" i="1"/>
  <c r="G268" i="1" s="1"/>
  <c r="H268" i="1" s="1"/>
  <c r="F264" i="1"/>
  <c r="G264" i="1"/>
  <c r="H264" i="1" s="1"/>
  <c r="F262" i="1"/>
  <c r="G262" i="1" s="1"/>
  <c r="H262" i="1" s="1"/>
  <c r="F261" i="1"/>
  <c r="G261" i="1" s="1"/>
  <c r="H261" i="1" s="1"/>
  <c r="F260" i="1"/>
  <c r="G260" i="1" s="1"/>
  <c r="H260" i="1" s="1"/>
  <c r="F259" i="1"/>
  <c r="G259" i="1"/>
  <c r="H259" i="1" s="1"/>
  <c r="F256" i="1"/>
  <c r="G256" i="1" s="1"/>
  <c r="H256" i="1" s="1"/>
  <c r="F255" i="1"/>
  <c r="G255" i="1" s="1"/>
  <c r="H255" i="1" s="1"/>
  <c r="F251" i="1"/>
  <c r="G251" i="1" s="1"/>
  <c r="H251" i="1" s="1"/>
  <c r="F250" i="1"/>
  <c r="G250" i="1" s="1"/>
  <c r="H250" i="1" s="1"/>
  <c r="F245" i="1"/>
  <c r="G245" i="1" s="1"/>
  <c r="H245" i="1" s="1"/>
  <c r="F244" i="1"/>
  <c r="G244" i="1" s="1"/>
  <c r="H244" i="1" s="1"/>
  <c r="F242" i="1"/>
  <c r="G242" i="1" s="1"/>
  <c r="H242" i="1" s="1"/>
  <c r="F240" i="1"/>
  <c r="G240" i="1" s="1"/>
  <c r="H240" i="1" s="1"/>
  <c r="F235" i="1"/>
  <c r="G235" i="1" s="1"/>
  <c r="H235" i="1" s="1"/>
  <c r="F234" i="1"/>
  <c r="G234" i="1" s="1"/>
  <c r="H234" i="1" s="1"/>
  <c r="F233" i="1"/>
  <c r="G233" i="1" s="1"/>
  <c r="H233" i="1" s="1"/>
  <c r="F232" i="1"/>
  <c r="G232" i="1" s="1"/>
  <c r="H232" i="1" s="1"/>
  <c r="F231" i="1"/>
  <c r="G231" i="1" s="1"/>
  <c r="H231" i="1" s="1"/>
  <c r="F226" i="1"/>
  <c r="G226" i="1" s="1"/>
  <c r="H226" i="1" s="1"/>
  <c r="F224" i="1"/>
  <c r="G224" i="1" s="1"/>
  <c r="H224" i="1" s="1"/>
  <c r="F223" i="1"/>
  <c r="G223" i="1"/>
  <c r="H223" i="1" s="1"/>
  <c r="F222" i="1"/>
  <c r="G222" i="1" s="1"/>
  <c r="H222" i="1" s="1"/>
  <c r="F221" i="1"/>
  <c r="G221" i="1" s="1"/>
  <c r="H221" i="1" s="1"/>
  <c r="F220" i="1"/>
  <c r="G220" i="1"/>
  <c r="H220" i="1" s="1"/>
  <c r="F219" i="1"/>
  <c r="G219" i="1" s="1"/>
  <c r="H219" i="1" s="1"/>
  <c r="F217" i="1"/>
  <c r="G217" i="1" s="1"/>
  <c r="H217" i="1" s="1"/>
  <c r="F215" i="1"/>
  <c r="G215" i="1" s="1"/>
  <c r="H215" i="1" s="1"/>
  <c r="F214" i="1"/>
  <c r="G214" i="1"/>
  <c r="H214" i="1" s="1"/>
  <c r="F213" i="1"/>
  <c r="G213" i="1" s="1"/>
  <c r="H213" i="1" s="1"/>
  <c r="F212" i="1"/>
  <c r="G212" i="1" s="1"/>
  <c r="H212" i="1" s="1"/>
  <c r="F211" i="1"/>
  <c r="G211" i="1" s="1"/>
  <c r="H211" i="1" s="1"/>
  <c r="F207" i="1"/>
  <c r="G207" i="1" s="1"/>
  <c r="H207" i="1" s="1"/>
  <c r="F206" i="1"/>
  <c r="G206" i="1"/>
  <c r="H206" i="1" s="1"/>
  <c r="F205" i="1"/>
  <c r="G205" i="1" s="1"/>
  <c r="H205" i="1" s="1"/>
  <c r="F204" i="1"/>
  <c r="G204" i="1" s="1"/>
  <c r="H204" i="1" s="1"/>
  <c r="F200" i="1"/>
  <c r="G200" i="1" s="1"/>
  <c r="H200" i="1" s="1"/>
  <c r="F193" i="1"/>
  <c r="G193" i="1"/>
  <c r="H193" i="1" s="1"/>
  <c r="F192" i="1"/>
  <c r="G192" i="1" s="1"/>
  <c r="H192" i="1" s="1"/>
  <c r="F190" i="1"/>
  <c r="G190" i="1" s="1"/>
  <c r="H190" i="1" s="1"/>
  <c r="F189" i="1"/>
  <c r="G189" i="1"/>
  <c r="H189" i="1" s="1"/>
  <c r="F188" i="1"/>
  <c r="G188" i="1" s="1"/>
  <c r="H188" i="1" s="1"/>
  <c r="F187" i="1"/>
  <c r="G187" i="1" s="1"/>
  <c r="H187" i="1" s="1"/>
  <c r="F183" i="1"/>
  <c r="G183" i="1" s="1"/>
  <c r="H183" i="1" s="1"/>
  <c r="F182" i="1"/>
  <c r="G182" i="1"/>
  <c r="H182" i="1" s="1"/>
  <c r="F181" i="1"/>
  <c r="G181" i="1" s="1"/>
  <c r="H181" i="1" s="1"/>
  <c r="F180" i="1"/>
  <c r="G180" i="1" s="1"/>
  <c r="H180" i="1" s="1"/>
  <c r="F179" i="1"/>
  <c r="G179" i="1" s="1"/>
  <c r="H179" i="1" s="1"/>
  <c r="F178" i="1"/>
  <c r="G178" i="1" s="1"/>
  <c r="H178" i="1" s="1"/>
  <c r="F177" i="1"/>
  <c r="G177" i="1"/>
  <c r="H177" i="1" s="1"/>
  <c r="F172" i="1"/>
  <c r="G172" i="1" s="1"/>
  <c r="H172" i="1" s="1"/>
  <c r="F171" i="1"/>
  <c r="G171" i="1" s="1"/>
  <c r="H171" i="1" s="1"/>
  <c r="F170" i="1"/>
  <c r="G170" i="1" s="1"/>
  <c r="H170" i="1" s="1"/>
  <c r="F169" i="1"/>
  <c r="G169" i="1"/>
  <c r="H169" i="1" s="1"/>
  <c r="F168" i="1"/>
  <c r="G168" i="1" s="1"/>
  <c r="H168" i="1" s="1"/>
  <c r="F167" i="1"/>
  <c r="G167" i="1" s="1"/>
  <c r="H167" i="1" s="1"/>
  <c r="F165" i="1"/>
  <c r="G165" i="1"/>
  <c r="H165" i="1" s="1"/>
  <c r="F164" i="1"/>
  <c r="G164" i="1" s="1"/>
  <c r="H164" i="1" s="1"/>
  <c r="F163" i="1"/>
  <c r="G163" i="1" s="1"/>
  <c r="H163" i="1" s="1"/>
  <c r="F162" i="1"/>
  <c r="G162" i="1" s="1"/>
  <c r="H162" i="1" s="1"/>
  <c r="F157" i="1"/>
  <c r="G157" i="1"/>
  <c r="H157" i="1" s="1"/>
  <c r="F156" i="1"/>
  <c r="G156" i="1" s="1"/>
  <c r="H156" i="1" s="1"/>
  <c r="F150" i="1"/>
  <c r="G150" i="1" s="1"/>
  <c r="H150" i="1" s="1"/>
  <c r="F149" i="1"/>
  <c r="G149" i="1" s="1"/>
  <c r="H149" i="1" s="1"/>
  <c r="F148" i="1"/>
  <c r="G148" i="1" s="1"/>
  <c r="H148" i="1" s="1"/>
  <c r="F147" i="1"/>
  <c r="G147" i="1"/>
  <c r="H147" i="1" s="1"/>
  <c r="F146" i="1"/>
  <c r="G146" i="1" s="1"/>
  <c r="H146" i="1" s="1"/>
  <c r="F144" i="1"/>
  <c r="G144" i="1" s="1"/>
  <c r="H144" i="1" s="1"/>
  <c r="F143" i="1"/>
  <c r="G143" i="1" s="1"/>
  <c r="H143" i="1" s="1"/>
  <c r="F141" i="1"/>
  <c r="G141" i="1"/>
  <c r="H141" i="1" s="1"/>
  <c r="F140" i="1"/>
  <c r="G140" i="1" s="1"/>
  <c r="H140" i="1" s="1"/>
  <c r="F138" i="1"/>
  <c r="G138" i="1" s="1"/>
  <c r="H138" i="1" s="1"/>
  <c r="F137" i="1"/>
  <c r="G137" i="1"/>
  <c r="H137" i="1" s="1"/>
  <c r="F136" i="1"/>
  <c r="G136" i="1" s="1"/>
  <c r="H136" i="1" s="1"/>
  <c r="F135" i="1"/>
  <c r="G135" i="1" s="1"/>
  <c r="H135" i="1" s="1"/>
  <c r="F134" i="1"/>
  <c r="G134" i="1" s="1"/>
  <c r="H134" i="1" s="1"/>
  <c r="F133" i="1"/>
  <c r="G133" i="1"/>
  <c r="H133" i="1" s="1"/>
  <c r="G131" i="1"/>
  <c r="H131" i="1" s="1"/>
  <c r="F127" i="1"/>
  <c r="G127" i="1" s="1"/>
  <c r="H127" i="1" s="1"/>
  <c r="F126" i="1"/>
  <c r="G126" i="1" s="1"/>
  <c r="H126" i="1" s="1"/>
  <c r="F125" i="1"/>
  <c r="G125" i="1" s="1"/>
  <c r="H125" i="1" s="1"/>
  <c r="F124" i="1"/>
  <c r="G124" i="1" s="1"/>
  <c r="H124" i="1" s="1"/>
  <c r="F122" i="1"/>
  <c r="G122" i="1"/>
  <c r="H122" i="1" s="1"/>
  <c r="F121" i="1"/>
  <c r="G121" i="1" s="1"/>
  <c r="H121" i="1" s="1"/>
  <c r="F120" i="1"/>
  <c r="G120" i="1" s="1"/>
  <c r="H120" i="1" s="1"/>
  <c r="F118" i="1"/>
  <c r="G118" i="1" s="1"/>
  <c r="H118" i="1" s="1"/>
  <c r="F117" i="1"/>
  <c r="G117" i="1"/>
  <c r="H117" i="1" s="1"/>
  <c r="F116" i="1"/>
  <c r="G116" i="1"/>
  <c r="H116" i="1" s="1"/>
  <c r="F115" i="1"/>
  <c r="G115" i="1" s="1"/>
  <c r="H115" i="1" s="1"/>
  <c r="F114" i="1"/>
  <c r="G114" i="1" s="1"/>
  <c r="H114" i="1" s="1"/>
  <c r="F113" i="1"/>
  <c r="G113" i="1" s="1"/>
  <c r="H113" i="1" s="1"/>
  <c r="F112" i="1"/>
  <c r="G112" i="1"/>
  <c r="H112" i="1" s="1"/>
  <c r="F111" i="1"/>
  <c r="G111" i="1" s="1"/>
  <c r="H111" i="1" s="1"/>
  <c r="F110" i="1"/>
  <c r="G110" i="1" s="1"/>
  <c r="H110" i="1" s="1"/>
  <c r="F109" i="1"/>
  <c r="G109" i="1" s="1"/>
  <c r="H109" i="1" s="1"/>
  <c r="F108" i="1"/>
  <c r="G108" i="1" s="1"/>
  <c r="H108" i="1" s="1"/>
  <c r="F107" i="1"/>
  <c r="G107" i="1" s="1"/>
  <c r="H107" i="1" s="1"/>
  <c r="F98" i="1"/>
  <c r="G98" i="1" s="1"/>
  <c r="H98" i="1" s="1"/>
  <c r="F96" i="1"/>
  <c r="G96" i="1"/>
  <c r="H96" i="1" s="1"/>
  <c r="F95" i="1"/>
  <c r="G95" i="1" s="1"/>
  <c r="H95" i="1" s="1"/>
  <c r="F94" i="1"/>
  <c r="G94" i="1" s="1"/>
  <c r="H94" i="1" s="1"/>
  <c r="F93" i="1"/>
  <c r="G93" i="1" s="1"/>
  <c r="H93" i="1" s="1"/>
  <c r="F92" i="1"/>
  <c r="G92" i="1"/>
  <c r="H92" i="1" s="1"/>
  <c r="F90" i="1"/>
  <c r="G90" i="1"/>
  <c r="H90" i="1" s="1"/>
  <c r="F88" i="1"/>
  <c r="G88" i="1" s="1"/>
  <c r="H88" i="1" s="1"/>
  <c r="F86" i="1"/>
  <c r="G86" i="1" s="1"/>
  <c r="H86" i="1" s="1"/>
  <c r="F84" i="1"/>
  <c r="G84" i="1" s="1"/>
  <c r="H84" i="1" s="1"/>
  <c r="F83" i="1"/>
  <c r="G83" i="1"/>
  <c r="H83" i="1" s="1"/>
  <c r="F82" i="1"/>
  <c r="G82" i="1" s="1"/>
  <c r="H82" i="1" s="1"/>
  <c r="F79" i="1"/>
  <c r="G79" i="1" s="1"/>
  <c r="H79" i="1" s="1"/>
  <c r="F71" i="1"/>
  <c r="G71" i="1" s="1"/>
  <c r="H71" i="1" s="1"/>
  <c r="F70" i="1"/>
  <c r="G70" i="1"/>
  <c r="H70" i="1" s="1"/>
  <c r="F69" i="1"/>
  <c r="G69" i="1" s="1"/>
  <c r="H69" i="1" s="1"/>
  <c r="F68" i="1"/>
  <c r="G68" i="1" s="1"/>
  <c r="H68" i="1" s="1"/>
  <c r="F66" i="1"/>
  <c r="G66" i="1" s="1"/>
  <c r="H66" i="1" s="1"/>
  <c r="F65" i="1"/>
  <c r="G65" i="1"/>
  <c r="H65" i="1" s="1"/>
  <c r="F63" i="1"/>
  <c r="G63" i="1" s="1"/>
  <c r="H63" i="1" s="1"/>
  <c r="F62" i="1"/>
  <c r="G62" i="1" s="1"/>
  <c r="H62" i="1" s="1"/>
  <c r="F61" i="1"/>
  <c r="G61" i="1" s="1"/>
  <c r="H61" i="1" s="1"/>
  <c r="F60" i="1"/>
  <c r="G60" i="1" s="1"/>
  <c r="H60" i="1" s="1"/>
  <c r="F59" i="1"/>
  <c r="G59" i="1" s="1"/>
  <c r="H59" i="1" s="1"/>
  <c r="F58" i="1"/>
  <c r="G58" i="1" s="1"/>
  <c r="H58" i="1" s="1"/>
  <c r="F57" i="1"/>
  <c r="G57" i="1" s="1"/>
  <c r="H57" i="1" s="1"/>
  <c r="F56" i="1"/>
  <c r="G56" i="1" s="1"/>
  <c r="H56" i="1" s="1"/>
  <c r="F55" i="1"/>
  <c r="G55" i="1" s="1"/>
  <c r="H55" i="1" s="1"/>
  <c r="F54" i="1"/>
  <c r="G54" i="1" s="1"/>
  <c r="H54" i="1" s="1"/>
  <c r="F53" i="1"/>
  <c r="G53" i="1" s="1"/>
  <c r="H53" i="1" s="1"/>
  <c r="F52" i="1"/>
  <c r="G52" i="1" s="1"/>
  <c r="H52" i="1" s="1"/>
  <c r="F40" i="1"/>
  <c r="G40" i="1" s="1"/>
  <c r="H40" i="1" s="1"/>
  <c r="F36" i="1"/>
  <c r="G36" i="1" s="1"/>
  <c r="H36" i="1" s="1"/>
  <c r="F35" i="1"/>
  <c r="G35" i="1" s="1"/>
  <c r="H35" i="1" s="1"/>
  <c r="F34" i="1"/>
  <c r="G34" i="1" s="1"/>
  <c r="H34" i="1" s="1"/>
  <c r="F31" i="1"/>
  <c r="G31" i="1" s="1"/>
  <c r="H31" i="1" s="1"/>
  <c r="F30" i="1"/>
  <c r="G30" i="1" s="1"/>
  <c r="H30" i="1" s="1"/>
  <c r="F29" i="1"/>
  <c r="G29" i="1" s="1"/>
  <c r="H29" i="1" s="1"/>
  <c r="F28" i="1"/>
  <c r="G28" i="1" s="1"/>
  <c r="H28" i="1" s="1"/>
  <c r="F27" i="1"/>
  <c r="G27" i="1"/>
  <c r="H27" i="1" s="1"/>
  <c r="F26" i="1"/>
  <c r="G26" i="1" s="1"/>
  <c r="H26" i="1" s="1"/>
  <c r="F25" i="1"/>
  <c r="G25" i="1" s="1"/>
  <c r="H25" i="1" s="1"/>
  <c r="F24" i="1"/>
  <c r="G24" i="1" s="1"/>
  <c r="H24" i="1" s="1"/>
  <c r="F23" i="1"/>
  <c r="G23" i="1"/>
  <c r="H23" i="1" s="1"/>
  <c r="F20" i="1"/>
  <c r="G20" i="1"/>
  <c r="H20" i="1" s="1"/>
  <c r="F15" i="1"/>
  <c r="G15" i="1" s="1"/>
  <c r="H15" i="1" s="1"/>
  <c r="F12" i="1"/>
  <c r="G12" i="1" s="1"/>
  <c r="H12" i="1" s="1"/>
  <c r="F11" i="1"/>
  <c r="G11" i="1" s="1"/>
  <c r="H11" i="1" s="1"/>
  <c r="F10" i="1"/>
  <c r="G10" i="1"/>
  <c r="H10" i="1" s="1"/>
  <c r="F9" i="1"/>
  <c r="G9" i="1" s="1"/>
  <c r="H9" i="1" s="1"/>
  <c r="F8" i="1"/>
  <c r="G8" i="1" s="1"/>
  <c r="H8" i="1" s="1"/>
  <c r="F7" i="1"/>
  <c r="G7" i="1" s="1"/>
  <c r="H7" i="1" s="1"/>
  <c r="F6" i="1"/>
  <c r="G6" i="1"/>
  <c r="H6" i="1" s="1"/>
  <c r="G5" i="1"/>
  <c r="H5" i="1" s="1"/>
  <c r="F4" i="1"/>
  <c r="G4" i="1" s="1"/>
  <c r="H4" i="1" s="1"/>
  <c r="E40" i="1"/>
  <c r="E306" i="1"/>
  <c r="E63" i="1"/>
  <c r="E35" i="1"/>
  <c r="G3" i="1" l="1"/>
  <c r="H3" i="1" s="1"/>
</calcChain>
</file>

<file path=xl/sharedStrings.xml><?xml version="1.0" encoding="utf-8"?>
<sst xmlns="http://schemas.openxmlformats.org/spreadsheetml/2006/main" count="1340" uniqueCount="489">
  <si>
    <t/>
  </si>
  <si>
    <t>Item No.</t>
  </si>
  <si>
    <t>Item</t>
  </si>
  <si>
    <t>Unit</t>
  </si>
  <si>
    <t>SOH</t>
  </si>
  <si>
    <t>Price</t>
  </si>
  <si>
    <t>Total</t>
  </si>
  <si>
    <t xml:space="preserve"> Parsely</t>
  </si>
  <si>
    <t>Bunch</t>
  </si>
  <si>
    <t>Achari masala</t>
  </si>
  <si>
    <t>Pkt 100gm</t>
  </si>
  <si>
    <t>Ajinomoto</t>
  </si>
  <si>
    <t>Pkt 1Kg</t>
  </si>
  <si>
    <t>Ajinomoto 250gm</t>
  </si>
  <si>
    <t>Each</t>
  </si>
  <si>
    <t>All Purpose Flour</t>
  </si>
  <si>
    <t>Kilogram</t>
  </si>
  <si>
    <t>All Spices</t>
  </si>
  <si>
    <t>Almond Flakes</t>
  </si>
  <si>
    <t>Almond Milk Unsweetened</t>
  </si>
  <si>
    <t>Liter</t>
  </si>
  <si>
    <t>Almond Powder</t>
  </si>
  <si>
    <t>Almond Whole</t>
  </si>
  <si>
    <t>Alpen Original</t>
  </si>
  <si>
    <t>Pkt 400GM</t>
  </si>
  <si>
    <t>Aluminium Foil 45cm*90m</t>
  </si>
  <si>
    <t>Anchovies Fillets</t>
  </si>
  <si>
    <t>Apple Cider Vinegar</t>
  </si>
  <si>
    <t>Apple Green</t>
  </si>
  <si>
    <t>Apple Red</t>
  </si>
  <si>
    <t>Apricot Jam</t>
  </si>
  <si>
    <t>Arrow Root</t>
  </si>
  <si>
    <t>Atta Mark Flour</t>
  </si>
  <si>
    <t>Avocado</t>
  </si>
  <si>
    <t>Baby Corn</t>
  </si>
  <si>
    <t>Badsha Chat Masala 100GM</t>
  </si>
  <si>
    <t>Badsha Kitchen King Masala(100G)</t>
  </si>
  <si>
    <t>Badsha Pav Bhaji Masala(Pkt 100GM)</t>
  </si>
  <si>
    <t>Badshah Sambar Masala 100gm</t>
  </si>
  <si>
    <t>Baked Beans</t>
  </si>
  <si>
    <t>Bakers Flour</t>
  </si>
  <si>
    <t>Baking Powder(Pkt 500gm)</t>
  </si>
  <si>
    <t>Pkt 500gm</t>
  </si>
  <si>
    <t>Balsamic Glaze</t>
  </si>
  <si>
    <t>Balsamic Vinegar</t>
  </si>
  <si>
    <t>Ltr 500ml</t>
  </si>
  <si>
    <t>Banana Sweet</t>
  </si>
  <si>
    <t>Basil.</t>
  </si>
  <si>
    <t>Bay Leaves(Pkt 500gm)</t>
  </si>
  <si>
    <t>Beans In Tomato sauce</t>
  </si>
  <si>
    <t>Beans(Pkt 1Kg)</t>
  </si>
  <si>
    <t>Beef Bacon</t>
  </si>
  <si>
    <t>Beef Boerewors 500Gm</t>
  </si>
  <si>
    <t>Beef Bones For Gravy</t>
  </si>
  <si>
    <t>Beef Cubes</t>
  </si>
  <si>
    <t>Beef Fillet Untrimmed 200Gm</t>
  </si>
  <si>
    <t>Beef Minced</t>
  </si>
  <si>
    <t>Beef -Peperoni</t>
  </si>
  <si>
    <t>Beef Samosa</t>
  </si>
  <si>
    <t>Beef Sausages(Pkt 1KG)</t>
  </si>
  <si>
    <t>Beef Short Ribs</t>
  </si>
  <si>
    <t>Beef Staff Meat</t>
  </si>
  <si>
    <t>Beet Root</t>
  </si>
  <si>
    <t>Bell Peppers Green</t>
  </si>
  <si>
    <t>Bell Peppers Red</t>
  </si>
  <si>
    <t>Bell Peppers Yellow</t>
  </si>
  <si>
    <t>Bicarbonate soda 100gm</t>
  </si>
  <si>
    <t>Bio Cooking Cream</t>
  </si>
  <si>
    <t>Black Beans 1kg</t>
  </si>
  <si>
    <t>Black Cardamom</t>
  </si>
  <si>
    <t>Black Chick Peas 1kg</t>
  </si>
  <si>
    <t>Black Grams</t>
  </si>
  <si>
    <t>Black Olives Oil (Pkt 500gm)</t>
  </si>
  <si>
    <t>Black Pepper Corns(Pkt 500gm)</t>
  </si>
  <si>
    <t>Black Pepper Powder(Pkt 500gm)</t>
  </si>
  <si>
    <t>Black Salt Powder</t>
  </si>
  <si>
    <t>Black Thick Plastic straws 150's</t>
  </si>
  <si>
    <t>Bluberry pie Filling</t>
  </si>
  <si>
    <t>Blueberry(250gm)</t>
  </si>
  <si>
    <t>Punnet 250Gm</t>
  </si>
  <si>
    <t>Bombay Biryani Masala</t>
  </si>
  <si>
    <t>Bread Improver</t>
  </si>
  <si>
    <t>Broccoli</t>
  </si>
  <si>
    <t>Brown Flour</t>
  </si>
  <si>
    <t>Brown Rice</t>
  </si>
  <si>
    <t>Brown Sugar</t>
  </si>
  <si>
    <t>Brown Sugar Sugar Sachets 100pcs</t>
  </si>
  <si>
    <t>Bullet Chillies</t>
  </si>
  <si>
    <t>Burger Slices Cheese(Cheddar)</t>
  </si>
  <si>
    <t>Butter Unsalted 200gm</t>
  </si>
  <si>
    <t>Butter Unsalted 500gm</t>
  </si>
  <si>
    <t>Butternut</t>
  </si>
  <si>
    <t>Button Mushrooms</t>
  </si>
  <si>
    <t>Calamari</t>
  </si>
  <si>
    <t>Canderel 300s</t>
  </si>
  <si>
    <t>Canderel Sweetener</t>
  </si>
  <si>
    <t>Candy Sprinklers(pkt 500gm)</t>
  </si>
  <si>
    <t>Capers</t>
  </si>
  <si>
    <t>Jar 1kg</t>
  </si>
  <si>
    <t>Cardamon Powder(pkt 500gm)</t>
  </si>
  <si>
    <t>Cardamon Whole</t>
  </si>
  <si>
    <t>Carrots</t>
  </si>
  <si>
    <t>Cashew Nuts</t>
  </si>
  <si>
    <t>Cassava</t>
  </si>
  <si>
    <t>Caster Sugar(Pkt 500Gm)</t>
  </si>
  <si>
    <t>Cauliflower</t>
  </si>
  <si>
    <t>Cayenne Pepper(Pkt 500gm)</t>
  </si>
  <si>
    <t>Celery</t>
  </si>
  <si>
    <t>Chana Dal</t>
  </si>
  <si>
    <t>Chat Masala</t>
  </si>
  <si>
    <t>Cheddar Cheese 1 Kg</t>
  </si>
  <si>
    <t>Cherry Assorted Green</t>
  </si>
  <si>
    <t>Cherry Assorted Red</t>
  </si>
  <si>
    <t>Cherry Tomatoes(Punnet 250gm)</t>
  </si>
  <si>
    <t>Chick Peas</t>
  </si>
  <si>
    <t>Chicken Breast</t>
  </si>
  <si>
    <t>Chicken Cubes Knorr</t>
  </si>
  <si>
    <t>Chicken Gizzard</t>
  </si>
  <si>
    <t>Chicken Masala</t>
  </si>
  <si>
    <t>Chicken Minced</t>
  </si>
  <si>
    <t>Chicken Sausages</t>
  </si>
  <si>
    <t>Chicken Thigh Boneless</t>
  </si>
  <si>
    <t>Chicken Wings 160Gm</t>
  </si>
  <si>
    <t>Chilli Flakes</t>
  </si>
  <si>
    <t>Chilli Powder(pkt 500gm)</t>
  </si>
  <si>
    <t>Chilli Sauce</t>
  </si>
  <si>
    <t>Chilli Sauce  sacheyts 15gm</t>
  </si>
  <si>
    <t>Carton</t>
  </si>
  <si>
    <t>Chocolate Block Dark</t>
  </si>
  <si>
    <t>Chocolate Block White</t>
  </si>
  <si>
    <t>Chocolate Ice Cream</t>
  </si>
  <si>
    <t>Chocolate Syrup</t>
  </si>
  <si>
    <t>Bottle</t>
  </si>
  <si>
    <t>Choma Sausage 1kg</t>
  </si>
  <si>
    <t>Cinnamon Powder(pkt 500gm)</t>
  </si>
  <si>
    <t>Cinnnamon Sticks</t>
  </si>
  <si>
    <t>Citric Acid(Pkt  500gm)</t>
  </si>
  <si>
    <t>Cling Film 30cm*300m</t>
  </si>
  <si>
    <t>Clove Powder(pkt 500gm)</t>
  </si>
  <si>
    <t>Clove Whole(Pkt 500gm)</t>
  </si>
  <si>
    <t>Cocoa Powder</t>
  </si>
  <si>
    <t>Coconut</t>
  </si>
  <si>
    <t>Coconut Cream</t>
  </si>
  <si>
    <t>Ltr 400ml</t>
  </si>
  <si>
    <t>Coconut Milk</t>
  </si>
  <si>
    <t>Coffee Beans</t>
  </si>
  <si>
    <t>Coffee Sachets</t>
  </si>
  <si>
    <t>Coke 330ml</t>
  </si>
  <si>
    <t>Case 24 Btles</t>
  </si>
  <si>
    <t>Collar Bacon</t>
  </si>
  <si>
    <t>Conference Packages A4 Size Prtd Both sides on Matt 150gms</t>
  </si>
  <si>
    <t>Cooking Cream</t>
  </si>
  <si>
    <t>Coriander (Dhania)</t>
  </si>
  <si>
    <t>Coriander Powder(pkt 500gm)</t>
  </si>
  <si>
    <t>Corn Flakes-Pkt 250gm)</t>
  </si>
  <si>
    <t>Pkt 250Gm</t>
  </si>
  <si>
    <t>Corn Flour(pkt 400gm)</t>
  </si>
  <si>
    <t>Corriander Seeds</t>
  </si>
  <si>
    <t>Cous Cous 500 gm Pkt</t>
  </si>
  <si>
    <t>Cranberry Juice</t>
  </si>
  <si>
    <t>Cream Cheese</t>
  </si>
  <si>
    <t>Cremora Cream</t>
  </si>
  <si>
    <t>Croma Margarine</t>
  </si>
  <si>
    <t>Cucumber Local</t>
  </si>
  <si>
    <t>Cumin Powder(pkt 500gm)</t>
  </si>
  <si>
    <t>Cumin Seeds(Pkt 500gm)</t>
  </si>
  <si>
    <t>Curry Leaves</t>
  </si>
  <si>
    <t>Curry Powder(Pkt 500gm)</t>
  </si>
  <si>
    <t>Custard Powder(Pkt 500gm)</t>
  </si>
  <si>
    <t>Dagi Chilli Powder</t>
  </si>
  <si>
    <t>Dark Medium Coffee</t>
  </si>
  <si>
    <t>Dark Soy Sauce</t>
  </si>
  <si>
    <t>Dates 500g</t>
  </si>
  <si>
    <t>Delmonde Apple Juice</t>
  </si>
  <si>
    <t>Delmonde Orange Juice</t>
  </si>
  <si>
    <t>Delmonde Tropical Juice</t>
  </si>
  <si>
    <t>Delmonte Assorted Juice</t>
  </si>
  <si>
    <t>Desiccated Coconut(Pkt 500gm)</t>
  </si>
  <si>
    <t>Dijon Mustard</t>
  </si>
  <si>
    <t>Ltr 250ml</t>
  </si>
  <si>
    <t>Do Not Use - Avocado</t>
  </si>
  <si>
    <t>DO NOT USE - Basil</t>
  </si>
  <si>
    <t>Do Not Use - Coriander (Dhania)</t>
  </si>
  <si>
    <t>Do Not Use - Dill</t>
  </si>
  <si>
    <t>Dormans coffe Sachets</t>
  </si>
  <si>
    <t>Dried Oregano(Pkt  500gm)</t>
  </si>
  <si>
    <t>Drinking Chocolate 450Gm</t>
  </si>
  <si>
    <t>Jar 500GM</t>
  </si>
  <si>
    <t>Egg Noodles 400gm</t>
  </si>
  <si>
    <t>Eggplant/Aubergines</t>
  </si>
  <si>
    <t>Eggs</t>
  </si>
  <si>
    <t>Tray 30pcs</t>
  </si>
  <si>
    <t>English BreakFast 6*20s</t>
  </si>
  <si>
    <t>Everyday Slices</t>
  </si>
  <si>
    <t>Festiva Col Egg/Golden yellow</t>
  </si>
  <si>
    <t>Festiva Col Orange  10g</t>
  </si>
  <si>
    <t>Festiva Col Tomato Red</t>
  </si>
  <si>
    <t>Feta Cheese 1Kg</t>
  </si>
  <si>
    <t>Filo Pastry</t>
  </si>
  <si>
    <t>Gram</t>
  </si>
  <si>
    <t>Flavoured Yoghurt 100ml</t>
  </si>
  <si>
    <t>Flower Arrngement</t>
  </si>
  <si>
    <t>Food Color Green 10gm</t>
  </si>
  <si>
    <t>Food Colour Red 500gm</t>
  </si>
  <si>
    <t>Food Colour Yellow 500gm</t>
  </si>
  <si>
    <t>French Beans</t>
  </si>
  <si>
    <t>Fresh Milk</t>
  </si>
  <si>
    <t>Fruity Spicy Sauce</t>
  </si>
  <si>
    <t>Garam Masala(Pkt 500gm)</t>
  </si>
  <si>
    <t>Garden Peas</t>
  </si>
  <si>
    <t>Garlic Imported</t>
  </si>
  <si>
    <t>Garlic Local</t>
  </si>
  <si>
    <t>Garlic Powder(Pkt 500gm)</t>
  </si>
  <si>
    <t>Gelatine(Pkt 500gm)</t>
  </si>
  <si>
    <t>Ghee 1kg</t>
  </si>
  <si>
    <t>Gherkins</t>
  </si>
  <si>
    <t>Ginger</t>
  </si>
  <si>
    <t>Ginger Powder(Pkt 500gm)</t>
  </si>
  <si>
    <t>Glucose Syrup</t>
  </si>
  <si>
    <t>Goat Cubes Boneless</t>
  </si>
  <si>
    <t>Goat Cubes On Bone</t>
  </si>
  <si>
    <t>Goat Leg</t>
  </si>
  <si>
    <t>Goat Minced</t>
  </si>
  <si>
    <t>Goat Ribs</t>
  </si>
  <si>
    <t>Goat Whole</t>
  </si>
  <si>
    <t>Gram Flour</t>
  </si>
  <si>
    <t>Grapes(Punnet 500gm)</t>
  </si>
  <si>
    <t>Punnet 500Gm</t>
  </si>
  <si>
    <t>Green Chilli Sauce</t>
  </si>
  <si>
    <t>Green Chillies</t>
  </si>
  <si>
    <t>Green Lentil</t>
  </si>
  <si>
    <t>Green Olives</t>
  </si>
  <si>
    <t>Green Tea</t>
  </si>
  <si>
    <t>Gulab Ajwain Seeds 500gm</t>
  </si>
  <si>
    <t>Hair Nets</t>
  </si>
  <si>
    <t>Halloumi Cheese</t>
  </si>
  <si>
    <t>Hard Letuce</t>
  </si>
  <si>
    <t>Heinz Mustard</t>
  </si>
  <si>
    <t>Hibiscus Tea</t>
  </si>
  <si>
    <t>Hings Powder 50Gm</t>
  </si>
  <si>
    <t>Honey</t>
  </si>
  <si>
    <t>Hosen Sweetened Condensed Milk</t>
  </si>
  <si>
    <t>Iceberg Lettuce</t>
  </si>
  <si>
    <t>Icing Sugar(Pkt 500gm)</t>
  </si>
  <si>
    <t>Jack Fruit</t>
  </si>
  <si>
    <t>Jaggery(Pkt 500gm)</t>
  </si>
  <si>
    <t>Jalapeno</t>
  </si>
  <si>
    <t>Jaljeera Masala 100gm</t>
  </si>
  <si>
    <t>Jam Apricot</t>
  </si>
  <si>
    <t>Jam Marmalade 1kg</t>
  </si>
  <si>
    <t>Jam Red Plum</t>
  </si>
  <si>
    <t>Javitri</t>
  </si>
  <si>
    <t>Jogoo Wimbi</t>
  </si>
  <si>
    <t>Juice Lime</t>
  </si>
  <si>
    <t>Jumbo Prawns</t>
  </si>
  <si>
    <t>K2 Prawns 180Gm</t>
  </si>
  <si>
    <t>Kansera</t>
  </si>
  <si>
    <t>Kashmiri Powder(Pkt 500gm)</t>
  </si>
  <si>
    <t>Kasuri Meethi</t>
  </si>
  <si>
    <t>Kericho Gold Tea (Envelopes)</t>
  </si>
  <si>
    <t>Ketepa Tea Leaves</t>
  </si>
  <si>
    <t>Kewda Water</t>
  </si>
  <si>
    <t>Bottle 150ML</t>
  </si>
  <si>
    <t>Lamb Loin Chops</t>
  </si>
  <si>
    <t>Leeks</t>
  </si>
  <si>
    <t>Lemon</t>
  </si>
  <si>
    <t>Lemon(Imported)</t>
  </si>
  <si>
    <t>Lemon/Lime 6*20s</t>
  </si>
  <si>
    <t>Lettuce Soft</t>
  </si>
  <si>
    <t>Light Soy Sauce</t>
  </si>
  <si>
    <t>Lime</t>
  </si>
  <si>
    <t>Lime Cordial</t>
  </si>
  <si>
    <t>Maize Meal</t>
  </si>
  <si>
    <t>Maize Shelled</t>
  </si>
  <si>
    <t>Managu</t>
  </si>
  <si>
    <t>Mango (Ripe)</t>
  </si>
  <si>
    <t>Mango Juice</t>
  </si>
  <si>
    <t>Marjoram</t>
  </si>
  <si>
    <t>Marple Syrup 450gm</t>
  </si>
  <si>
    <t>Mascarpoon Cheese 200gm (sibiola)</t>
  </si>
  <si>
    <t>Matoke/Green Bananas</t>
  </si>
  <si>
    <t>Matumbo</t>
  </si>
  <si>
    <t>Mayonnaise</t>
  </si>
  <si>
    <t>Medium Hot Chilli Powder(Pkt 500gm)</t>
  </si>
  <si>
    <t>Meth.</t>
  </si>
  <si>
    <t>Methylated Spirit 5L</t>
  </si>
  <si>
    <t>Mini Butter Mini 100*20G</t>
  </si>
  <si>
    <t>Mini Honey 100*20G</t>
  </si>
  <si>
    <t>Mini Orange Marmalade 100*20G</t>
  </si>
  <si>
    <t>Mint</t>
  </si>
  <si>
    <t>Mint leaves</t>
  </si>
  <si>
    <t>Mixed Fruit 100*20G</t>
  </si>
  <si>
    <t>Mixed Lettuce</t>
  </si>
  <si>
    <t>Mixed Peels</t>
  </si>
  <si>
    <t>Mozarella Cheese</t>
  </si>
  <si>
    <t>Mung Dal Washed</t>
  </si>
  <si>
    <t>Mushroom Shitake dry</t>
  </si>
  <si>
    <t>Mustard Oil 1Ltr</t>
  </si>
  <si>
    <t>Mustard Powder</t>
  </si>
  <si>
    <t>Mustard Seeds(Pkt 500gm)</t>
  </si>
  <si>
    <t>Natural Yoghurt</t>
  </si>
  <si>
    <t>Nestle Cremora MP 200*4gm</t>
  </si>
  <si>
    <t>New York Steak 250Gm</t>
  </si>
  <si>
    <t>Nileperch Fillet</t>
  </si>
  <si>
    <t>Nileperch Whole</t>
  </si>
  <si>
    <t>Nutella</t>
  </si>
  <si>
    <t>Nutmeg Powder(Pkt 500gm)</t>
  </si>
  <si>
    <t>Oats</t>
  </si>
  <si>
    <t>Okra</t>
  </si>
  <si>
    <t>Olive Oil</t>
  </si>
  <si>
    <t>Onion Powder(Pkt 500gm)</t>
  </si>
  <si>
    <t>Onions Red</t>
  </si>
  <si>
    <t>Orange Juice</t>
  </si>
  <si>
    <t>Orange(Imported)</t>
  </si>
  <si>
    <t>Oranges (Local)-Staff</t>
  </si>
  <si>
    <t>Oyster Sauce</t>
  </si>
  <si>
    <t>Palak</t>
  </si>
  <si>
    <t>Paneer Cheese</t>
  </si>
  <si>
    <t>Pani Puri Masala 100gm</t>
  </si>
  <si>
    <t>Panko Bread Crumb(Pkt 1kg)</t>
  </si>
  <si>
    <t>Papad</t>
  </si>
  <si>
    <t>Parmesan Cheese</t>
  </si>
  <si>
    <t>Passion Fruits-Brunch</t>
  </si>
  <si>
    <t>Passion Juice</t>
  </si>
  <si>
    <t>Pasta Fusili</t>
  </si>
  <si>
    <t>Pasta Lasgna</t>
  </si>
  <si>
    <t>Pasta Penne</t>
  </si>
  <si>
    <t>Pasta Spaghetti</t>
  </si>
  <si>
    <t>Pastry Margarine</t>
  </si>
  <si>
    <t>Paw Paw Kampala</t>
  </si>
  <si>
    <t>Peaches Tinned 425gm</t>
  </si>
  <si>
    <t>Peanut Butter 350g</t>
  </si>
  <si>
    <t>Pkt 350Gm</t>
  </si>
  <si>
    <t>Peanut Raw</t>
  </si>
  <si>
    <t>Peeled Tomato Pomodoro</t>
  </si>
  <si>
    <t>Picke mixed Veg</t>
  </si>
  <si>
    <t>Pickle Mango(Jar 500gm)</t>
  </si>
  <si>
    <t>Pineapples</t>
  </si>
  <si>
    <t>Pistachio Ice Cream</t>
  </si>
  <si>
    <t>PIZZA  BOX 12"</t>
  </si>
  <si>
    <t>Plantain</t>
  </si>
  <si>
    <t>Popcorn Seeds</t>
  </si>
  <si>
    <t>Popy Seed 500gm</t>
  </si>
  <si>
    <t>Potatoes</t>
  </si>
  <si>
    <t>Prawns Jumbo</t>
  </si>
  <si>
    <t>Pre-Cut Chips</t>
  </si>
  <si>
    <t>Puff Rice-Poha</t>
  </si>
  <si>
    <t>Pumkin Seeds</t>
  </si>
  <si>
    <t>Pumpkin</t>
  </si>
  <si>
    <t>Pumpkin Seeds</t>
  </si>
  <si>
    <t>Queen Prawns</t>
  </si>
  <si>
    <t>Raha Drinking Chocolate sachet 144pcs</t>
  </si>
  <si>
    <t>Raisins(Pkt 500gm)</t>
  </si>
  <si>
    <t>Raspberries(Punnet 250gm)</t>
  </si>
  <si>
    <t>Raw Papaya</t>
  </si>
  <si>
    <t>Red Cabbage</t>
  </si>
  <si>
    <t>Red Chillie Whole</t>
  </si>
  <si>
    <t>Red Chillies</t>
  </si>
  <si>
    <t>Red Curry Paste</t>
  </si>
  <si>
    <t>Red Lentils</t>
  </si>
  <si>
    <t>Red Onions</t>
  </si>
  <si>
    <t>Red Plum Jam</t>
  </si>
  <si>
    <t>Red Radish</t>
  </si>
  <si>
    <t>Red Snapper Fillets</t>
  </si>
  <si>
    <t>Red Wine Vineger</t>
  </si>
  <si>
    <t>Ribena</t>
  </si>
  <si>
    <t>Rib-Eye Steak 300Gm</t>
  </si>
  <si>
    <t>Rice</t>
  </si>
  <si>
    <t>Rice - Twiga</t>
  </si>
  <si>
    <t>Rice Crispies Cereal</t>
  </si>
  <si>
    <t>Rice Umbrella</t>
  </si>
  <si>
    <t>Rocket Leaves</t>
  </si>
  <si>
    <t>Romaine</t>
  </si>
  <si>
    <t>Rosemary</t>
  </si>
  <si>
    <t>Safron</t>
  </si>
  <si>
    <t>Salt</t>
  </si>
  <si>
    <t>Salt Satchets</t>
  </si>
  <si>
    <t>Salted Peanuts</t>
  </si>
  <si>
    <t>Sea Salt</t>
  </si>
  <si>
    <t>Semolina</t>
  </si>
  <si>
    <t>Sesame Oil</t>
  </si>
  <si>
    <t>Sesame Oil Roasted</t>
  </si>
  <si>
    <t>Sesame Seeds</t>
  </si>
  <si>
    <t>Soy Sauce Dark 625</t>
  </si>
  <si>
    <t>Soya Milk Unsweetened</t>
  </si>
  <si>
    <t>Spanish Paprika(Pkt 500Gm)</t>
  </si>
  <si>
    <t>Spinach</t>
  </si>
  <si>
    <t>Spring Onions</t>
  </si>
  <si>
    <t>Sriracha</t>
  </si>
  <si>
    <t>Star Anise</t>
  </si>
  <si>
    <t>Strawberries(punnet 500gm)</t>
  </si>
  <si>
    <t>Strawberry Ice Cream</t>
  </si>
  <si>
    <t>Strawberry Syrup</t>
  </si>
  <si>
    <t>Sugar</t>
  </si>
  <si>
    <t>Sugar Molasses</t>
  </si>
  <si>
    <t>Sukuma Wiki</t>
  </si>
  <si>
    <t>Sultanas</t>
  </si>
  <si>
    <t>Sumac Powder</t>
  </si>
  <si>
    <t>Sun Sugar Brown 4side</t>
  </si>
  <si>
    <t>Sunflower Oil</t>
  </si>
  <si>
    <t>Sunflower Seeds</t>
  </si>
  <si>
    <t>Sunrice Basmatic</t>
  </si>
  <si>
    <t>Supabrites</t>
  </si>
  <si>
    <t>Sweet Banana</t>
  </si>
  <si>
    <t>sweet Chilli Sauce 710ml</t>
  </si>
  <si>
    <t>Sweet corn</t>
  </si>
  <si>
    <t>Sweet Corn 410ml</t>
  </si>
  <si>
    <t>Sweet Melon</t>
  </si>
  <si>
    <t>Sweet Potatoes</t>
  </si>
  <si>
    <t>Taco Shells 150gm</t>
  </si>
  <si>
    <t>Tahini Sauce</t>
  </si>
  <si>
    <t>Tamarind</t>
  </si>
  <si>
    <t>Tamarind Paste 227gm</t>
  </si>
  <si>
    <t>Tanqueray 750Ml</t>
  </si>
  <si>
    <t>Bottle 750ml 25 Tots</t>
  </si>
  <si>
    <t>T-Bone Steak</t>
  </si>
  <si>
    <t>Tea Leaves</t>
  </si>
  <si>
    <t>Tea Masala(Pkt 500gm)</t>
  </si>
  <si>
    <t>Tempura Flour(Pkt 500gm)</t>
  </si>
  <si>
    <t>Terere</t>
  </si>
  <si>
    <t>Thyme</t>
  </si>
  <si>
    <t>Tilapia Fillet 300GM</t>
  </si>
  <si>
    <t>Tobasco Sauce</t>
  </si>
  <si>
    <t>Tomato Ketchup</t>
  </si>
  <si>
    <t>Tomato Ketchup sachets 360*20g</t>
  </si>
  <si>
    <t>Tomato Ketchup(342g)</t>
  </si>
  <si>
    <t>Tomato Sauce 5L</t>
  </si>
  <si>
    <t>Tomato Sauce Sachets 20G</t>
  </si>
  <si>
    <t>Tomatoes</t>
  </si>
  <si>
    <t>Tomatoes Cherry Red</t>
  </si>
  <si>
    <t>Tomatoes Paste</t>
  </si>
  <si>
    <t>Topside Beef</t>
  </si>
  <si>
    <t>Tree Tomatoes</t>
  </si>
  <si>
    <t>Tropical Mint Sweet</t>
  </si>
  <si>
    <t>Truffle Oil</t>
  </si>
  <si>
    <t>Tumeric Powder 500g</t>
  </si>
  <si>
    <t>Turmeric Powder 1KG</t>
  </si>
  <si>
    <t>Tuwar Dal</t>
  </si>
  <si>
    <t>UHT Milk</t>
  </si>
  <si>
    <t>Unsweetened Cooking Cream</t>
  </si>
  <si>
    <t>Urad Dal</t>
  </si>
  <si>
    <t>Value Pack Beef Sausage</t>
  </si>
  <si>
    <t>Vanilla Essence 500 Ml</t>
  </si>
  <si>
    <t>Vanilla Ice Cream</t>
  </si>
  <si>
    <t>Veebol</t>
  </si>
  <si>
    <t>Vegetable Fry Oil</t>
  </si>
  <si>
    <t>Vegetable Samosa 750GM</t>
  </si>
  <si>
    <t>Vegetable Spring Rolls 3'' 750GM</t>
  </si>
  <si>
    <t>Viena Hot Dog</t>
  </si>
  <si>
    <t>Walnuts</t>
  </si>
  <si>
    <t>Watermelon</t>
  </si>
  <si>
    <t>Weetabix</t>
  </si>
  <si>
    <t>Wheet Flakes 375g</t>
  </si>
  <si>
    <t>Whipping Cream</t>
  </si>
  <si>
    <t>White Cabbage</t>
  </si>
  <si>
    <t>White Pepper Powder</t>
  </si>
  <si>
    <t>White Serviettes</t>
  </si>
  <si>
    <t>White Sugar Satchets 100's</t>
  </si>
  <si>
    <t>White Urad Dal</t>
  </si>
  <si>
    <t>White Vinegar</t>
  </si>
  <si>
    <t>White Wine Vinegar</t>
  </si>
  <si>
    <t>Whole Capon 1.3-1.4Kg</t>
  </si>
  <si>
    <t>Whole Kasmir Chilli</t>
  </si>
  <si>
    <t>Whole Tilapia 500Gm</t>
  </si>
  <si>
    <t>Wimbi Flour</t>
  </si>
  <si>
    <t>Worcestshire Sauce</t>
  </si>
  <si>
    <t>Yeast</t>
  </si>
  <si>
    <t>Yellow Beans</t>
  </si>
  <si>
    <t>Yellow Grams</t>
  </si>
  <si>
    <t>Zucchini</t>
  </si>
  <si>
    <t>ACTUAL QTY</t>
  </si>
  <si>
    <t>Fresh Veg</t>
  </si>
  <si>
    <t>Freezer</t>
  </si>
  <si>
    <t>General Store</t>
  </si>
  <si>
    <t>Store</t>
  </si>
  <si>
    <t>Beverage Store</t>
  </si>
  <si>
    <t>Dry Store</t>
  </si>
  <si>
    <t>ROL</t>
  </si>
  <si>
    <t>.</t>
  </si>
  <si>
    <t>SS</t>
  </si>
  <si>
    <t>REMARKS</t>
  </si>
  <si>
    <t>Compatibility Report for Stock.XLS</t>
  </si>
  <si>
    <t>Run on 02/10/2023 11:09</t>
  </si>
  <si>
    <t>If the workbook is saved in an earlier file format or opened in an earlier version of Microsoft Excel, the listed features will not be available.</t>
  </si>
  <si>
    <t>Minor loss of fidelity</t>
  </si>
  <si>
    <t># of occurrences</t>
  </si>
  <si>
    <t>Version</t>
  </si>
  <si>
    <t>Some cells or styles in this workbook contain formatting that is not supported by the selected file format. These formats will be converted to the closest format available.</t>
  </si>
  <si>
    <t>Excel 97-2003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</si>
</sst>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#0.000"/>
    <numFmt numFmtId="173" formatCode="###,##0.000"/>
  </numFmts>
  <fonts count="8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3">
    <xf numFmtId="0" fontId="2" fillId="0" borderId="0" xfId="0" applyFont="1"/>
    <xf numFmtId="0" fontId="0" fillId="0" borderId="0" xfId="0" applyFont="1" applyBorder="1" applyAlignment="1">
      <alignment shrinkToFit="1"/>
    </xf>
    <xf numFmtId="0" fontId="0" fillId="0" borderId="0" xfId="0" applyBorder="1"/>
    <xf numFmtId="0" fontId="3" fillId="0" borderId="1" xfId="0" applyFont="1" applyBorder="1" applyAlignment="1">
      <alignment horizontal="left" vertical="center" shrinkToFit="1"/>
    </xf>
    <xf numFmtId="0" fontId="4" fillId="0" borderId="1" xfId="0" applyFont="1" applyBorder="1" applyAlignment="1">
      <alignment shrinkToFit="1"/>
    </xf>
    <xf numFmtId="172" fontId="4" fillId="0" borderId="1" xfId="0" applyNumberFormat="1" applyFont="1" applyBorder="1" applyAlignment="1">
      <alignment horizontal="right" shrinkToFit="1"/>
    </xf>
    <xf numFmtId="173" fontId="4" fillId="0" borderId="1" xfId="0" applyNumberFormat="1" applyFont="1" applyBorder="1" applyAlignment="1">
      <alignment horizontal="right" shrinkToFit="1"/>
    </xf>
    <xf numFmtId="0" fontId="0" fillId="0" borderId="1" xfId="0" applyBorder="1"/>
    <xf numFmtId="0" fontId="3" fillId="0" borderId="1" xfId="0" applyFont="1" applyBorder="1" applyAlignment="1">
      <alignment vertical="center" shrinkToFit="1"/>
    </xf>
    <xf numFmtId="0" fontId="4" fillId="0" borderId="2" xfId="0" applyFont="1" applyBorder="1" applyAlignment="1">
      <alignment shrinkToFit="1"/>
    </xf>
    <xf numFmtId="0" fontId="3" fillId="0" borderId="3" xfId="0" applyFont="1" applyBorder="1" applyAlignment="1">
      <alignment vertical="center" shrinkToFit="1"/>
    </xf>
    <xf numFmtId="0" fontId="3" fillId="0" borderId="4" xfId="0" applyFont="1" applyBorder="1" applyAlignment="1">
      <alignment vertical="center" shrinkToFit="1"/>
    </xf>
    <xf numFmtId="172" fontId="3" fillId="0" borderId="4" xfId="0" applyNumberFormat="1" applyFont="1" applyBorder="1" applyAlignment="1">
      <alignment horizontal="right" vertical="center" shrinkToFit="1"/>
    </xf>
    <xf numFmtId="173" fontId="3" fillId="0" borderId="4" xfId="0" applyNumberFormat="1" applyFont="1" applyBorder="1" applyAlignment="1">
      <alignment horizontal="right" vertical="center" shrinkToFit="1"/>
    </xf>
    <xf numFmtId="0" fontId="0" fillId="0" borderId="4" xfId="0" applyBorder="1"/>
    <xf numFmtId="0" fontId="4" fillId="0" borderId="5" xfId="0" applyFont="1" applyBorder="1" applyAlignment="1">
      <alignment shrinkToFit="1"/>
    </xf>
    <xf numFmtId="0" fontId="4" fillId="0" borderId="6" xfId="0" applyFont="1" applyBorder="1" applyAlignment="1">
      <alignment shrinkToFit="1"/>
    </xf>
    <xf numFmtId="172" fontId="4" fillId="0" borderId="6" xfId="0" applyNumberFormat="1" applyFont="1" applyBorder="1" applyAlignment="1">
      <alignment horizontal="right" shrinkToFit="1"/>
    </xf>
    <xf numFmtId="173" fontId="4" fillId="0" borderId="6" xfId="0" applyNumberFormat="1" applyFont="1" applyBorder="1" applyAlignment="1">
      <alignment horizontal="right" shrinkToFit="1"/>
    </xf>
    <xf numFmtId="0" fontId="0" fillId="0" borderId="6" xfId="0" applyBorder="1"/>
    <xf numFmtId="0" fontId="3" fillId="0" borderId="7" xfId="0" applyFont="1" applyBorder="1" applyAlignment="1">
      <alignment horizontal="left" vertical="center" shrinkToFit="1"/>
    </xf>
    <xf numFmtId="0" fontId="3" fillId="0" borderId="8" xfId="0" applyFont="1" applyBorder="1" applyAlignment="1">
      <alignment horizontal="left" vertical="center" shrinkToFit="1"/>
    </xf>
    <xf numFmtId="172" fontId="3" fillId="0" borderId="8" xfId="0" applyNumberFormat="1" applyFont="1" applyBorder="1" applyAlignment="1">
      <alignment horizontal="right" vertical="center" shrinkToFit="1"/>
    </xf>
    <xf numFmtId="172" fontId="3" fillId="2" borderId="8" xfId="0" applyNumberFormat="1" applyFont="1" applyFill="1" applyBorder="1" applyAlignment="1">
      <alignment horizontal="left" vertical="center" shrinkToFit="1"/>
    </xf>
    <xf numFmtId="172" fontId="3" fillId="2" borderId="9" xfId="0" applyNumberFormat="1" applyFont="1" applyFill="1" applyBorder="1" applyAlignment="1">
      <alignment horizontal="right" vertical="center" shrinkToFit="1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1" xfId="0" applyFont="1" applyBorder="1"/>
    <xf numFmtId="0" fontId="5" fillId="0" borderId="1" xfId="0" applyFont="1" applyBorder="1" applyAlignment="1">
      <alignment horizontal="center" vertical="center"/>
    </xf>
    <xf numFmtId="0" fontId="6" fillId="0" borderId="11" xfId="0" applyFont="1" applyBorder="1"/>
    <xf numFmtId="0" fontId="0" fillId="2" borderId="11" xfId="0" applyFill="1" applyBorder="1"/>
    <xf numFmtId="0" fontId="1" fillId="0" borderId="1" xfId="0" applyFont="1" applyBorder="1"/>
    <xf numFmtId="172" fontId="3" fillId="2" borderId="9" xfId="0" applyNumberFormat="1" applyFont="1" applyFill="1" applyBorder="1" applyAlignment="1">
      <alignment horizontal="center" vertical="center" shrinkToFit="1"/>
    </xf>
    <xf numFmtId="173" fontId="7" fillId="2" borderId="8" xfId="0" applyNumberFormat="1" applyFont="1" applyFill="1" applyBorder="1" applyAlignment="1">
      <alignment horizontal="right" vertical="center" shrinkToFit="1"/>
    </xf>
    <xf numFmtId="0" fontId="5" fillId="0" borderId="0" xfId="0" applyNumberFormat="1" applyFont="1" applyAlignment="1">
      <alignment vertical="top" wrapText="1"/>
    </xf>
    <xf numFmtId="0" fontId="2" fillId="0" borderId="0" xfId="0" applyNumberFormat="1" applyFont="1" applyAlignment="1">
      <alignment vertical="top" wrapText="1"/>
    </xf>
    <xf numFmtId="0" fontId="2" fillId="0" borderId="13" xfId="0" applyNumberFormat="1" applyFont="1" applyBorder="1" applyAlignment="1">
      <alignment vertical="top" wrapText="1"/>
    </xf>
    <xf numFmtId="0" fontId="2" fillId="0" borderId="14" xfId="0" applyNumberFormat="1" applyFont="1" applyBorder="1" applyAlignment="1">
      <alignment vertical="top" wrapText="1"/>
    </xf>
    <xf numFmtId="0" fontId="5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14" xfId="0" applyNumberFormat="1" applyFont="1" applyBorder="1" applyAlignment="1">
      <alignment horizontal="center" vertical="top" wrapText="1"/>
    </xf>
    <xf numFmtId="0" fontId="2" fillId="0" borderId="15" xfId="0" applyNumberFormat="1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K441"/>
  <sheetViews>
    <sheetView tabSelected="1" topLeftCell="B1" zoomScaleNormal="100" workbookViewId="0">
      <selection activeCell="F3" sqref="F3"/>
    </sheetView>
  </sheetViews>
  <sheetFormatPr defaultRowHeight="12.75" x14ac:dyDescent="0.2"/>
  <cols>
    <col min="1" max="1" width="9.5703125" style="1" hidden="1" customWidth="1"/>
    <col min="2" max="2" width="34.7109375" style="1" customWidth="1"/>
    <col min="3" max="3" width="16.42578125" style="1" customWidth="1"/>
    <col min="4" max="4" width="9.5703125" style="1" customWidth="1"/>
    <col min="5" max="8" width="12.28515625" customWidth="1"/>
    <col min="9" max="9" width="11.140625" style="1" customWidth="1"/>
    <col min="10" max="10" width="13.7109375" customWidth="1"/>
    <col min="11" max="11" width="0" style="28" hidden="1" customWidth="1"/>
  </cols>
  <sheetData>
    <row r="1" spans="1:11" s="2" customFormat="1" ht="33.75" customHeight="1" thickBot="1" x14ac:dyDescent="0.25">
      <c r="A1" s="20" t="s">
        <v>1</v>
      </c>
      <c r="B1" s="21" t="s">
        <v>2</v>
      </c>
      <c r="C1" s="3" t="s">
        <v>3</v>
      </c>
      <c r="D1" s="22" t="s">
        <v>4</v>
      </c>
      <c r="E1" s="24" t="s">
        <v>470</v>
      </c>
      <c r="F1" s="33" t="s">
        <v>477</v>
      </c>
      <c r="G1" s="33" t="s">
        <v>479</v>
      </c>
      <c r="H1" s="33" t="s">
        <v>480</v>
      </c>
      <c r="I1" s="34" t="s">
        <v>5</v>
      </c>
      <c r="J1" s="23" t="s">
        <v>474</v>
      </c>
      <c r="K1" s="29" t="s">
        <v>477</v>
      </c>
    </row>
    <row r="2" spans="1:11" s="2" customFormat="1" x14ac:dyDescent="0.2">
      <c r="A2" s="15">
        <v>10100115</v>
      </c>
      <c r="B2" s="16" t="s">
        <v>7</v>
      </c>
      <c r="C2" s="4" t="s">
        <v>8</v>
      </c>
      <c r="D2" s="17">
        <v>0</v>
      </c>
      <c r="E2" s="25"/>
      <c r="F2" s="25"/>
      <c r="G2" s="25"/>
      <c r="H2" s="25"/>
      <c r="I2" s="18">
        <v>20</v>
      </c>
      <c r="J2" s="19" t="s">
        <v>471</v>
      </c>
      <c r="K2" s="7"/>
    </row>
    <row r="3" spans="1:11" s="2" customFormat="1" x14ac:dyDescent="0.2">
      <c r="A3" s="9">
        <v>11100225</v>
      </c>
      <c r="B3" s="4" t="s">
        <v>9</v>
      </c>
      <c r="C3" s="4" t="s">
        <v>10</v>
      </c>
      <c r="D3" s="5">
        <v>0</v>
      </c>
      <c r="E3" s="26"/>
      <c r="F3" s="26">
        <f>ROUND(E3/2, 0)</f>
        <v>0</v>
      </c>
      <c r="G3" s="26">
        <f>E4-F4</f>
        <v>1</v>
      </c>
      <c r="H3" s="26" t="str">
        <f>IF(G3&lt;=0,"To Order", "Ok")</f>
        <v>Ok</v>
      </c>
      <c r="I3" s="6">
        <v>28</v>
      </c>
      <c r="J3" s="7" t="s">
        <v>476</v>
      </c>
      <c r="K3" s="7"/>
    </row>
    <row r="4" spans="1:11" s="2" customFormat="1" x14ac:dyDescent="0.2">
      <c r="A4" s="9">
        <v>11100172</v>
      </c>
      <c r="B4" s="4" t="s">
        <v>11</v>
      </c>
      <c r="C4" s="4" t="s">
        <v>12</v>
      </c>
      <c r="D4" s="5">
        <v>0</v>
      </c>
      <c r="E4" s="26">
        <v>2</v>
      </c>
      <c r="F4" s="26">
        <f t="shared" ref="F4:F12" si="0">ROUND(E4/2, 0)</f>
        <v>1</v>
      </c>
      <c r="G4" s="26">
        <f>E4-F4</f>
        <v>1</v>
      </c>
      <c r="H4" s="26" t="str">
        <f>IF(G4&lt;=0,"To Order", "Ok")</f>
        <v>Ok</v>
      </c>
      <c r="I4" s="6">
        <v>310.34483</v>
      </c>
      <c r="J4" s="7" t="s">
        <v>476</v>
      </c>
      <c r="K4" s="7">
        <v>1</v>
      </c>
    </row>
    <row r="5" spans="1:11" s="2" customFormat="1" x14ac:dyDescent="0.2">
      <c r="A5" s="9">
        <v>11100208</v>
      </c>
      <c r="B5" s="4" t="s">
        <v>13</v>
      </c>
      <c r="C5" s="4" t="s">
        <v>14</v>
      </c>
      <c r="D5" s="5">
        <v>0</v>
      </c>
      <c r="E5" s="26">
        <v>1</v>
      </c>
      <c r="F5" s="26"/>
      <c r="G5" s="26">
        <f t="shared" ref="G5:G12" si="1">E5-F5</f>
        <v>1</v>
      </c>
      <c r="H5" s="26" t="str">
        <f>IF(G5&lt;=0,"To Order", "Ok")</f>
        <v>Ok</v>
      </c>
      <c r="I5" s="6">
        <v>155.17241000000001</v>
      </c>
      <c r="J5" s="7" t="s">
        <v>476</v>
      </c>
      <c r="K5" s="7">
        <v>1</v>
      </c>
    </row>
    <row r="6" spans="1:11" s="2" customFormat="1" x14ac:dyDescent="0.2">
      <c r="A6" s="9">
        <v>10700001</v>
      </c>
      <c r="B6" s="4" t="s">
        <v>15</v>
      </c>
      <c r="C6" s="4" t="s">
        <v>16</v>
      </c>
      <c r="D6" s="5">
        <v>20</v>
      </c>
      <c r="E6" s="26">
        <v>74</v>
      </c>
      <c r="F6" s="26">
        <f t="shared" si="0"/>
        <v>37</v>
      </c>
      <c r="G6" s="26">
        <f t="shared" si="1"/>
        <v>37</v>
      </c>
      <c r="H6" s="26" t="str">
        <f>IF(G6&lt;=0,"To Order", "Ok")</f>
        <v>Ok</v>
      </c>
      <c r="I6" s="6">
        <v>105</v>
      </c>
      <c r="J6" s="7" t="s">
        <v>476</v>
      </c>
      <c r="K6" s="7">
        <v>24</v>
      </c>
    </row>
    <row r="7" spans="1:11" s="2" customFormat="1" x14ac:dyDescent="0.2">
      <c r="A7" s="9">
        <v>11100094</v>
      </c>
      <c r="B7" s="4" t="s">
        <v>17</v>
      </c>
      <c r="C7" s="4" t="s">
        <v>12</v>
      </c>
      <c r="D7" s="5">
        <v>0</v>
      </c>
      <c r="E7" s="26">
        <v>0</v>
      </c>
      <c r="F7" s="26">
        <f t="shared" si="0"/>
        <v>0</v>
      </c>
      <c r="G7" s="26">
        <f t="shared" si="1"/>
        <v>0</v>
      </c>
      <c r="H7" s="26" t="str">
        <f t="shared" ref="H7:H12" si="2">IF(G7&lt;=0,"To Order", "Ok")</f>
        <v>To Order</v>
      </c>
      <c r="I7" s="6">
        <v>350</v>
      </c>
      <c r="J7" s="7" t="s">
        <v>476</v>
      </c>
      <c r="K7" s="7"/>
    </row>
    <row r="8" spans="1:11" s="2" customFormat="1" x14ac:dyDescent="0.2">
      <c r="A8" s="9">
        <v>10800013</v>
      </c>
      <c r="B8" s="4" t="s">
        <v>18</v>
      </c>
      <c r="C8" s="4" t="s">
        <v>14</v>
      </c>
      <c r="D8" s="5">
        <v>7</v>
      </c>
      <c r="E8" s="26">
        <v>8</v>
      </c>
      <c r="F8" s="26">
        <f t="shared" si="0"/>
        <v>4</v>
      </c>
      <c r="G8" s="26">
        <f t="shared" si="1"/>
        <v>4</v>
      </c>
      <c r="H8" s="26" t="str">
        <f t="shared" si="2"/>
        <v>Ok</v>
      </c>
      <c r="I8" s="6">
        <v>2100</v>
      </c>
      <c r="J8" s="7" t="s">
        <v>476</v>
      </c>
      <c r="K8" s="7">
        <v>2</v>
      </c>
    </row>
    <row r="9" spans="1:11" s="2" customFormat="1" x14ac:dyDescent="0.2">
      <c r="A9" s="9">
        <v>10600033</v>
      </c>
      <c r="B9" s="4" t="s">
        <v>19</v>
      </c>
      <c r="C9" s="4" t="s">
        <v>20</v>
      </c>
      <c r="D9" s="5">
        <v>0</v>
      </c>
      <c r="E9" s="26">
        <v>12</v>
      </c>
      <c r="F9" s="26">
        <f t="shared" si="0"/>
        <v>6</v>
      </c>
      <c r="G9" s="26">
        <f t="shared" si="1"/>
        <v>6</v>
      </c>
      <c r="H9" s="26" t="str">
        <f t="shared" si="2"/>
        <v>Ok</v>
      </c>
      <c r="I9" s="6">
        <v>365</v>
      </c>
      <c r="J9" s="7" t="s">
        <v>476</v>
      </c>
      <c r="K9" s="7">
        <v>1</v>
      </c>
    </row>
    <row r="10" spans="1:11" s="2" customFormat="1" x14ac:dyDescent="0.2">
      <c r="A10" s="9">
        <v>10800035</v>
      </c>
      <c r="B10" s="4" t="s">
        <v>21</v>
      </c>
      <c r="C10" s="4" t="s">
        <v>16</v>
      </c>
      <c r="D10" s="5">
        <v>7</v>
      </c>
      <c r="E10" s="26">
        <v>7</v>
      </c>
      <c r="F10" s="26">
        <f t="shared" si="0"/>
        <v>4</v>
      </c>
      <c r="G10" s="26">
        <f t="shared" si="1"/>
        <v>3</v>
      </c>
      <c r="H10" s="26" t="str">
        <f t="shared" si="2"/>
        <v>Ok</v>
      </c>
      <c r="I10" s="6">
        <v>2300</v>
      </c>
      <c r="J10" s="7" t="s">
        <v>476</v>
      </c>
      <c r="K10" s="7">
        <v>1</v>
      </c>
    </row>
    <row r="11" spans="1:11" s="2" customFormat="1" x14ac:dyDescent="0.2">
      <c r="A11" s="9">
        <v>10800036</v>
      </c>
      <c r="B11" s="4" t="s">
        <v>22</v>
      </c>
      <c r="C11" s="4" t="s">
        <v>16</v>
      </c>
      <c r="D11" s="5">
        <v>2.5</v>
      </c>
      <c r="E11" s="26">
        <v>3</v>
      </c>
      <c r="F11" s="26">
        <f t="shared" si="0"/>
        <v>2</v>
      </c>
      <c r="G11" s="26">
        <f t="shared" si="1"/>
        <v>1</v>
      </c>
      <c r="H11" s="26" t="str">
        <f t="shared" si="2"/>
        <v>Ok</v>
      </c>
      <c r="I11" s="6">
        <v>1755</v>
      </c>
      <c r="J11" s="7" t="s">
        <v>476</v>
      </c>
      <c r="K11" s="7">
        <v>1</v>
      </c>
    </row>
    <row r="12" spans="1:11" s="2" customFormat="1" x14ac:dyDescent="0.2">
      <c r="A12" s="9">
        <v>10800079</v>
      </c>
      <c r="B12" s="4" t="s">
        <v>23</v>
      </c>
      <c r="C12" s="4" t="s">
        <v>24</v>
      </c>
      <c r="D12" s="5">
        <v>11.5</v>
      </c>
      <c r="E12" s="26">
        <v>18</v>
      </c>
      <c r="F12" s="26">
        <f t="shared" si="0"/>
        <v>9</v>
      </c>
      <c r="G12" s="26">
        <f t="shared" si="1"/>
        <v>9</v>
      </c>
      <c r="H12" s="26" t="str">
        <f t="shared" si="2"/>
        <v>Ok</v>
      </c>
      <c r="I12" s="6">
        <v>336</v>
      </c>
      <c r="J12" s="7" t="s">
        <v>476</v>
      </c>
      <c r="K12" s="7">
        <v>3</v>
      </c>
    </row>
    <row r="13" spans="1:11" s="2" customFormat="1" x14ac:dyDescent="0.2">
      <c r="A13" s="9">
        <v>16300030</v>
      </c>
      <c r="B13" s="4" t="s">
        <v>25</v>
      </c>
      <c r="C13" s="4" t="s">
        <v>14</v>
      </c>
      <c r="D13" s="5">
        <v>0</v>
      </c>
      <c r="E13" s="26"/>
      <c r="F13" s="26"/>
      <c r="G13" s="26"/>
      <c r="H13" s="26"/>
      <c r="I13" s="6">
        <v>1465.5172399999999</v>
      </c>
      <c r="J13" s="7" t="s">
        <v>473</v>
      </c>
      <c r="K13" s="7">
        <v>10</v>
      </c>
    </row>
    <row r="14" spans="1:11" s="2" customFormat="1" x14ac:dyDescent="0.2">
      <c r="A14" s="9">
        <v>13300004</v>
      </c>
      <c r="B14" s="4" t="s">
        <v>26</v>
      </c>
      <c r="C14" s="4" t="s">
        <v>10</v>
      </c>
      <c r="D14" s="5">
        <v>0</v>
      </c>
      <c r="E14" s="26"/>
      <c r="F14" s="26"/>
      <c r="G14" s="26"/>
      <c r="H14" s="26"/>
      <c r="I14" s="6">
        <v>513.20000000000005</v>
      </c>
      <c r="J14" s="7" t="s">
        <v>472</v>
      </c>
      <c r="K14" s="7">
        <v>2</v>
      </c>
    </row>
    <row r="15" spans="1:11" s="2" customFormat="1" x14ac:dyDescent="0.2">
      <c r="A15" s="9">
        <v>11000007</v>
      </c>
      <c r="B15" s="4" t="s">
        <v>27</v>
      </c>
      <c r="C15" s="4" t="s">
        <v>20</v>
      </c>
      <c r="D15" s="5">
        <v>5</v>
      </c>
      <c r="E15" s="26"/>
      <c r="F15" s="26">
        <f>ROUND(E15/2, 0)</f>
        <v>0</v>
      </c>
      <c r="G15" s="26">
        <f>E15-F15</f>
        <v>0</v>
      </c>
      <c r="H15" s="26" t="str">
        <f>IF(G15&lt;=0,"To Order", "Ok")</f>
        <v>To Order</v>
      </c>
      <c r="I15" s="6">
        <v>283</v>
      </c>
      <c r="J15" s="7" t="s">
        <v>476</v>
      </c>
      <c r="K15" s="7">
        <v>5</v>
      </c>
    </row>
    <row r="16" spans="1:11" s="2" customFormat="1" x14ac:dyDescent="0.2">
      <c r="A16" s="9">
        <v>10000028</v>
      </c>
      <c r="B16" s="4" t="s">
        <v>28</v>
      </c>
      <c r="C16" s="4" t="s">
        <v>16</v>
      </c>
      <c r="D16" s="5">
        <v>0</v>
      </c>
      <c r="E16" s="26"/>
      <c r="F16" s="26"/>
      <c r="G16" s="26"/>
      <c r="H16" s="26"/>
      <c r="I16" s="6">
        <v>220</v>
      </c>
      <c r="J16" s="7" t="s">
        <v>471</v>
      </c>
      <c r="K16" s="7"/>
    </row>
    <row r="17" spans="1:11" s="2" customFormat="1" x14ac:dyDescent="0.2">
      <c r="A17" s="9">
        <v>10000027</v>
      </c>
      <c r="B17" s="4" t="s">
        <v>29</v>
      </c>
      <c r="C17" s="4" t="s">
        <v>16</v>
      </c>
      <c r="D17" s="5">
        <v>0</v>
      </c>
      <c r="E17" s="26"/>
      <c r="F17" s="26"/>
      <c r="G17" s="26"/>
      <c r="H17" s="26"/>
      <c r="I17" s="6">
        <v>220</v>
      </c>
      <c r="J17" s="7" t="s">
        <v>471</v>
      </c>
      <c r="K17" s="7"/>
    </row>
    <row r="18" spans="1:11" s="2" customFormat="1" x14ac:dyDescent="0.2">
      <c r="A18" s="9">
        <v>19300001</v>
      </c>
      <c r="B18" s="4" t="s">
        <v>30</v>
      </c>
      <c r="C18" s="4" t="s">
        <v>16</v>
      </c>
      <c r="D18" s="5">
        <v>0</v>
      </c>
      <c r="E18" s="26"/>
      <c r="F18" s="26"/>
      <c r="G18" s="26"/>
      <c r="H18" s="26"/>
      <c r="I18" s="6">
        <v>330</v>
      </c>
      <c r="J18" s="7" t="s">
        <v>471</v>
      </c>
      <c r="K18" s="7"/>
    </row>
    <row r="19" spans="1:11" s="2" customFormat="1" x14ac:dyDescent="0.2">
      <c r="A19" s="9">
        <v>10100008</v>
      </c>
      <c r="B19" s="4" t="s">
        <v>31</v>
      </c>
      <c r="C19" s="4" t="s">
        <v>16</v>
      </c>
      <c r="D19" s="5">
        <v>0</v>
      </c>
      <c r="E19" s="26"/>
      <c r="F19" s="26"/>
      <c r="G19" s="26"/>
      <c r="H19" s="26"/>
      <c r="I19" s="6">
        <v>120</v>
      </c>
      <c r="J19" s="7" t="s">
        <v>471</v>
      </c>
      <c r="K19" s="7"/>
    </row>
    <row r="20" spans="1:11" s="2" customFormat="1" x14ac:dyDescent="0.2">
      <c r="A20" s="9">
        <v>10700002</v>
      </c>
      <c r="B20" s="4" t="s">
        <v>32</v>
      </c>
      <c r="C20" s="4" t="s">
        <v>16</v>
      </c>
      <c r="D20" s="5">
        <v>12</v>
      </c>
      <c r="E20" s="26"/>
      <c r="F20" s="26">
        <f>ROUND(E20/2, 0)</f>
        <v>0</v>
      </c>
      <c r="G20" s="26">
        <f>E20-F20</f>
        <v>0</v>
      </c>
      <c r="H20" s="26" t="str">
        <f>IF(G20&lt;=0,"To Order", "Ok")</f>
        <v>To Order</v>
      </c>
      <c r="I20" s="6">
        <v>155</v>
      </c>
      <c r="J20" s="7" t="s">
        <v>476</v>
      </c>
      <c r="K20" s="7">
        <v>10</v>
      </c>
    </row>
    <row r="21" spans="1:11" s="2" customFormat="1" x14ac:dyDescent="0.2">
      <c r="A21" s="9">
        <v>10000050</v>
      </c>
      <c r="B21" s="4" t="s">
        <v>33</v>
      </c>
      <c r="C21" s="4" t="s">
        <v>14</v>
      </c>
      <c r="D21" s="5">
        <v>0</v>
      </c>
      <c r="E21" s="26"/>
      <c r="F21" s="26"/>
      <c r="G21" s="26"/>
      <c r="H21" s="26"/>
      <c r="I21" s="6">
        <v>23</v>
      </c>
      <c r="J21" s="7" t="s">
        <v>471</v>
      </c>
      <c r="K21" s="7"/>
    </row>
    <row r="22" spans="1:11" s="2" customFormat="1" x14ac:dyDescent="0.2">
      <c r="A22" s="9">
        <v>10100009</v>
      </c>
      <c r="B22" s="4" t="s">
        <v>34</v>
      </c>
      <c r="C22" s="4" t="s">
        <v>16</v>
      </c>
      <c r="D22" s="5">
        <v>0</v>
      </c>
      <c r="E22" s="26"/>
      <c r="F22" s="26"/>
      <c r="G22" s="26"/>
      <c r="H22" s="26"/>
      <c r="I22" s="6">
        <v>340</v>
      </c>
      <c r="J22" s="7" t="s">
        <v>471</v>
      </c>
      <c r="K22" s="7"/>
    </row>
    <row r="23" spans="1:11" s="2" customFormat="1" x14ac:dyDescent="0.2">
      <c r="A23" s="9">
        <v>11100178</v>
      </c>
      <c r="B23" s="4" t="s">
        <v>35</v>
      </c>
      <c r="C23" s="4" t="s">
        <v>10</v>
      </c>
      <c r="D23" s="5">
        <v>0</v>
      </c>
      <c r="E23" s="26">
        <v>9</v>
      </c>
      <c r="F23" s="26">
        <f t="shared" ref="F23:F31" si="3">ROUND(E23/2, 0)</f>
        <v>5</v>
      </c>
      <c r="G23" s="26">
        <f t="shared" ref="G23:G31" si="4">E23-F23</f>
        <v>4</v>
      </c>
      <c r="H23" s="26" t="str">
        <f t="shared" ref="H23:H31" si="5">IF(G23&lt;=0,"To Order", "Ok")</f>
        <v>Ok</v>
      </c>
      <c r="I23" s="6">
        <v>19.583333</v>
      </c>
      <c r="J23" s="7" t="s">
        <v>476</v>
      </c>
      <c r="K23" s="7">
        <v>3</v>
      </c>
    </row>
    <row r="24" spans="1:11" s="2" customFormat="1" x14ac:dyDescent="0.2">
      <c r="A24" s="9">
        <v>11100179</v>
      </c>
      <c r="B24" s="4" t="s">
        <v>36</v>
      </c>
      <c r="C24" s="4" t="s">
        <v>10</v>
      </c>
      <c r="D24" s="5">
        <v>4985</v>
      </c>
      <c r="E24" s="26">
        <v>3</v>
      </c>
      <c r="F24" s="26">
        <f t="shared" si="3"/>
        <v>2</v>
      </c>
      <c r="G24" s="26">
        <f t="shared" si="4"/>
        <v>1</v>
      </c>
      <c r="H24" s="26" t="str">
        <f t="shared" si="5"/>
        <v>Ok</v>
      </c>
      <c r="I24" s="6">
        <v>0.24137900000000001</v>
      </c>
      <c r="J24" s="7" t="s">
        <v>476</v>
      </c>
      <c r="K24" s="7">
        <v>3</v>
      </c>
    </row>
    <row r="25" spans="1:11" s="2" customFormat="1" x14ac:dyDescent="0.2">
      <c r="A25" s="9">
        <v>11100180</v>
      </c>
      <c r="B25" s="4" t="s">
        <v>37</v>
      </c>
      <c r="C25" s="4" t="s">
        <v>10</v>
      </c>
      <c r="D25" s="5">
        <v>1</v>
      </c>
      <c r="E25" s="26">
        <v>1</v>
      </c>
      <c r="F25" s="26">
        <f t="shared" si="3"/>
        <v>1</v>
      </c>
      <c r="G25" s="26">
        <f t="shared" si="4"/>
        <v>0</v>
      </c>
      <c r="H25" s="26" t="str">
        <f t="shared" si="5"/>
        <v>To Order</v>
      </c>
      <c r="I25" s="6">
        <v>24</v>
      </c>
      <c r="J25" s="7" t="s">
        <v>476</v>
      </c>
      <c r="K25" s="7">
        <v>3</v>
      </c>
    </row>
    <row r="26" spans="1:11" s="2" customFormat="1" x14ac:dyDescent="0.2">
      <c r="A26" s="9">
        <v>11100209</v>
      </c>
      <c r="B26" s="4" t="s">
        <v>38</v>
      </c>
      <c r="C26" s="4" t="s">
        <v>14</v>
      </c>
      <c r="D26" s="5">
        <v>0</v>
      </c>
      <c r="E26" s="26"/>
      <c r="F26" s="26">
        <f t="shared" si="3"/>
        <v>0</v>
      </c>
      <c r="G26" s="26">
        <f t="shared" si="4"/>
        <v>0</v>
      </c>
      <c r="H26" s="26" t="str">
        <f t="shared" si="5"/>
        <v>To Order</v>
      </c>
      <c r="I26" s="6">
        <v>215.517</v>
      </c>
      <c r="J26" s="7" t="s">
        <v>476</v>
      </c>
      <c r="K26" s="7"/>
    </row>
    <row r="27" spans="1:11" s="2" customFormat="1" x14ac:dyDescent="0.2">
      <c r="A27" s="9">
        <v>10800001</v>
      </c>
      <c r="B27" s="4" t="s">
        <v>39</v>
      </c>
      <c r="C27" s="4" t="s">
        <v>16</v>
      </c>
      <c r="D27" s="5">
        <v>0</v>
      </c>
      <c r="E27" s="26">
        <v>11</v>
      </c>
      <c r="F27" s="26">
        <f t="shared" si="3"/>
        <v>6</v>
      </c>
      <c r="G27" s="26">
        <f t="shared" si="4"/>
        <v>5</v>
      </c>
      <c r="H27" s="26" t="str">
        <f t="shared" si="5"/>
        <v>Ok</v>
      </c>
      <c r="I27" s="6">
        <v>440</v>
      </c>
      <c r="J27" s="7" t="s">
        <v>476</v>
      </c>
      <c r="K27" s="7">
        <v>6</v>
      </c>
    </row>
    <row r="28" spans="1:11" s="2" customFormat="1" x14ac:dyDescent="0.2">
      <c r="A28" s="9">
        <v>10700004</v>
      </c>
      <c r="B28" s="4" t="s">
        <v>40</v>
      </c>
      <c r="C28" s="4" t="s">
        <v>16</v>
      </c>
      <c r="D28" s="5">
        <v>100</v>
      </c>
      <c r="E28" s="26">
        <v>100</v>
      </c>
      <c r="F28" s="26">
        <f t="shared" si="3"/>
        <v>50</v>
      </c>
      <c r="G28" s="26">
        <f t="shared" si="4"/>
        <v>50</v>
      </c>
      <c r="H28" s="26" t="str">
        <f t="shared" si="5"/>
        <v>Ok</v>
      </c>
      <c r="I28" s="6">
        <v>100</v>
      </c>
      <c r="J28" s="7" t="s">
        <v>476</v>
      </c>
      <c r="K28" s="7">
        <v>50</v>
      </c>
    </row>
    <row r="29" spans="1:11" s="2" customFormat="1" x14ac:dyDescent="0.2">
      <c r="A29" s="9">
        <v>10900001</v>
      </c>
      <c r="B29" s="4" t="s">
        <v>41</v>
      </c>
      <c r="C29" s="4" t="s">
        <v>42</v>
      </c>
      <c r="D29" s="5">
        <v>0</v>
      </c>
      <c r="E29" s="26">
        <v>7</v>
      </c>
      <c r="F29" s="26">
        <f t="shared" si="3"/>
        <v>4</v>
      </c>
      <c r="G29" s="26">
        <f t="shared" si="4"/>
        <v>3</v>
      </c>
      <c r="H29" s="26" t="str">
        <f t="shared" si="5"/>
        <v>Ok</v>
      </c>
      <c r="I29" s="6">
        <v>130</v>
      </c>
      <c r="J29" s="7" t="s">
        <v>476</v>
      </c>
      <c r="K29" s="7">
        <v>6</v>
      </c>
    </row>
    <row r="30" spans="1:11" s="2" customFormat="1" x14ac:dyDescent="0.2">
      <c r="A30" s="9">
        <v>11000001</v>
      </c>
      <c r="B30" s="4" t="s">
        <v>43</v>
      </c>
      <c r="C30" s="4" t="s">
        <v>20</v>
      </c>
      <c r="D30" s="5">
        <v>16</v>
      </c>
      <c r="E30" s="26">
        <v>14</v>
      </c>
      <c r="F30" s="26">
        <f t="shared" si="3"/>
        <v>7</v>
      </c>
      <c r="G30" s="26">
        <f t="shared" si="4"/>
        <v>7</v>
      </c>
      <c r="H30" s="26" t="str">
        <f t="shared" si="5"/>
        <v>Ok</v>
      </c>
      <c r="I30" s="6">
        <v>940</v>
      </c>
      <c r="J30" s="7" t="s">
        <v>476</v>
      </c>
      <c r="K30" s="7">
        <v>5</v>
      </c>
    </row>
    <row r="31" spans="1:11" s="2" customFormat="1" x14ac:dyDescent="0.2">
      <c r="A31" s="9">
        <v>11000002</v>
      </c>
      <c r="B31" s="4" t="s">
        <v>44</v>
      </c>
      <c r="C31" s="4" t="s">
        <v>45</v>
      </c>
      <c r="D31" s="5">
        <v>5</v>
      </c>
      <c r="E31" s="26">
        <v>5</v>
      </c>
      <c r="F31" s="26">
        <f t="shared" si="3"/>
        <v>3</v>
      </c>
      <c r="G31" s="26">
        <f t="shared" si="4"/>
        <v>2</v>
      </c>
      <c r="H31" s="26" t="str">
        <f t="shared" si="5"/>
        <v>Ok</v>
      </c>
      <c r="I31" s="6">
        <v>170</v>
      </c>
      <c r="J31" s="7" t="s">
        <v>476</v>
      </c>
      <c r="K31" s="7">
        <v>3</v>
      </c>
    </row>
    <row r="32" spans="1:11" s="2" customFormat="1" x14ac:dyDescent="0.2">
      <c r="A32" s="9">
        <v>10000030</v>
      </c>
      <c r="B32" s="4" t="s">
        <v>46</v>
      </c>
      <c r="C32" s="4" t="s">
        <v>8</v>
      </c>
      <c r="D32" s="5">
        <v>0</v>
      </c>
      <c r="E32" s="26"/>
      <c r="F32" s="26"/>
      <c r="G32" s="26"/>
      <c r="H32" s="26"/>
      <c r="I32" s="6">
        <v>10</v>
      </c>
      <c r="J32" s="7" t="s">
        <v>471</v>
      </c>
      <c r="K32" s="7"/>
    </row>
    <row r="33" spans="1:11" s="2" customFormat="1" x14ac:dyDescent="0.2">
      <c r="A33" s="9">
        <v>10100110</v>
      </c>
      <c r="B33" s="4" t="s">
        <v>47</v>
      </c>
      <c r="C33" s="4" t="s">
        <v>8</v>
      </c>
      <c r="D33" s="5">
        <v>0</v>
      </c>
      <c r="E33" s="26"/>
      <c r="F33" s="26"/>
      <c r="G33" s="26"/>
      <c r="H33" s="26"/>
      <c r="I33" s="6">
        <v>20</v>
      </c>
      <c r="J33" s="7" t="s">
        <v>471</v>
      </c>
      <c r="K33" s="7"/>
    </row>
    <row r="34" spans="1:11" s="2" customFormat="1" x14ac:dyDescent="0.2">
      <c r="A34" s="9">
        <v>11100001</v>
      </c>
      <c r="B34" s="4" t="s">
        <v>48</v>
      </c>
      <c r="C34" s="4" t="s">
        <v>42</v>
      </c>
      <c r="D34" s="5">
        <v>6</v>
      </c>
      <c r="E34" s="26">
        <v>3</v>
      </c>
      <c r="F34" s="26">
        <f>ROUND(E34/2, 0)</f>
        <v>2</v>
      </c>
      <c r="G34" s="26">
        <f>E34-F34</f>
        <v>1</v>
      </c>
      <c r="H34" s="26" t="str">
        <f>IF(G34&lt;=0,"To Order", "Ok")</f>
        <v>Ok</v>
      </c>
      <c r="I34" s="6">
        <v>245</v>
      </c>
      <c r="J34" s="7" t="s">
        <v>476</v>
      </c>
      <c r="K34" s="7">
        <v>1</v>
      </c>
    </row>
    <row r="35" spans="1:11" s="2" customFormat="1" x14ac:dyDescent="0.2">
      <c r="A35" s="9">
        <v>11800012</v>
      </c>
      <c r="B35" s="4" t="s">
        <v>49</v>
      </c>
      <c r="C35" s="4" t="s">
        <v>16</v>
      </c>
      <c r="D35" s="5">
        <v>5</v>
      </c>
      <c r="E35" s="26">
        <f>12*2.55</f>
        <v>30.599999999999998</v>
      </c>
      <c r="F35" s="26">
        <f>ROUND(E35/2, 0)</f>
        <v>15</v>
      </c>
      <c r="G35" s="26">
        <f>E35-F35</f>
        <v>15.599999999999998</v>
      </c>
      <c r="H35" s="26" t="str">
        <f>IF(G35&lt;=0,"To Order", "Ok")</f>
        <v>Ok</v>
      </c>
      <c r="I35" s="6">
        <v>146.55171999999999</v>
      </c>
      <c r="J35" s="7" t="s">
        <v>476</v>
      </c>
      <c r="K35" s="7">
        <v>20</v>
      </c>
    </row>
    <row r="36" spans="1:11" s="2" customFormat="1" x14ac:dyDescent="0.2">
      <c r="A36" s="9">
        <v>11200001</v>
      </c>
      <c r="B36" s="4" t="s">
        <v>50</v>
      </c>
      <c r="C36" s="4" t="s">
        <v>12</v>
      </c>
      <c r="D36" s="5">
        <v>10</v>
      </c>
      <c r="E36" s="26">
        <v>13</v>
      </c>
      <c r="F36" s="26">
        <f>ROUND(E36/2, 0)</f>
        <v>7</v>
      </c>
      <c r="G36" s="26">
        <f>E36-F36</f>
        <v>6</v>
      </c>
      <c r="H36" s="26" t="str">
        <f>IF(G36&lt;=0,"To Order", "Ok")</f>
        <v>Ok</v>
      </c>
      <c r="I36" s="6">
        <v>172.41</v>
      </c>
      <c r="J36" s="7" t="s">
        <v>476</v>
      </c>
      <c r="K36" s="7">
        <v>5</v>
      </c>
    </row>
    <row r="37" spans="1:11" s="2" customFormat="1" x14ac:dyDescent="0.2">
      <c r="A37" s="9">
        <v>12800016</v>
      </c>
      <c r="B37" s="4" t="s">
        <v>51</v>
      </c>
      <c r="C37" s="4" t="s">
        <v>12</v>
      </c>
      <c r="D37" s="5">
        <v>0</v>
      </c>
      <c r="E37" s="26"/>
      <c r="F37" s="26"/>
      <c r="G37" s="26"/>
      <c r="H37" s="26"/>
      <c r="I37" s="6">
        <v>2400</v>
      </c>
      <c r="J37" s="7" t="s">
        <v>472</v>
      </c>
      <c r="K37" s="7">
        <v>10</v>
      </c>
    </row>
    <row r="38" spans="1:11" s="2" customFormat="1" x14ac:dyDescent="0.2">
      <c r="A38" s="9">
        <v>12800003</v>
      </c>
      <c r="B38" s="4" t="s">
        <v>52</v>
      </c>
      <c r="C38" s="4" t="s">
        <v>16</v>
      </c>
      <c r="D38" s="5">
        <v>0</v>
      </c>
      <c r="E38" s="26"/>
      <c r="F38" s="26"/>
      <c r="G38" s="26"/>
      <c r="H38" s="26"/>
      <c r="I38" s="6">
        <v>1500</v>
      </c>
      <c r="J38" s="7" t="s">
        <v>472</v>
      </c>
      <c r="K38" s="7">
        <v>2</v>
      </c>
    </row>
    <row r="39" spans="1:11" s="2" customFormat="1" x14ac:dyDescent="0.2">
      <c r="A39" s="9">
        <v>12800028</v>
      </c>
      <c r="B39" s="4" t="s">
        <v>53</v>
      </c>
      <c r="C39" s="4" t="s">
        <v>16</v>
      </c>
      <c r="D39" s="5">
        <v>0</v>
      </c>
      <c r="E39" s="26"/>
      <c r="F39" s="26"/>
      <c r="G39" s="26"/>
      <c r="H39" s="26"/>
      <c r="I39" s="6">
        <v>100</v>
      </c>
      <c r="J39" s="7" t="s">
        <v>472</v>
      </c>
      <c r="K39" s="7">
        <v>2</v>
      </c>
    </row>
    <row r="40" spans="1:11" s="2" customFormat="1" x14ac:dyDescent="0.2">
      <c r="A40" s="9">
        <v>11100159</v>
      </c>
      <c r="B40" s="4" t="s">
        <v>54</v>
      </c>
      <c r="C40" s="4" t="s">
        <v>14</v>
      </c>
      <c r="D40" s="5">
        <v>81</v>
      </c>
      <c r="E40" s="26">
        <f>27+45</f>
        <v>72</v>
      </c>
      <c r="F40" s="26">
        <f>ROUND(E40/2, 0)</f>
        <v>36</v>
      </c>
      <c r="G40" s="26">
        <f>E40-F40</f>
        <v>36</v>
      </c>
      <c r="H40" s="26" t="str">
        <f>IF(G40&lt;=0,"To Order", "Ok")</f>
        <v>Ok</v>
      </c>
      <c r="I40" s="6">
        <v>70</v>
      </c>
      <c r="J40" s="7" t="s">
        <v>476</v>
      </c>
      <c r="K40" s="7">
        <v>25</v>
      </c>
    </row>
    <row r="41" spans="1:11" s="2" customFormat="1" x14ac:dyDescent="0.2">
      <c r="A41" s="9">
        <v>12800004</v>
      </c>
      <c r="B41" s="4" t="s">
        <v>55</v>
      </c>
      <c r="C41" s="4" t="s">
        <v>16</v>
      </c>
      <c r="D41" s="5">
        <v>27.6</v>
      </c>
      <c r="E41" s="26"/>
      <c r="F41" s="26"/>
      <c r="G41" s="26"/>
      <c r="H41" s="26"/>
      <c r="I41" s="6">
        <v>1150</v>
      </c>
      <c r="J41" s="7" t="s">
        <v>472</v>
      </c>
      <c r="K41" s="7">
        <v>10</v>
      </c>
    </row>
    <row r="42" spans="1:11" s="2" customFormat="1" x14ac:dyDescent="0.2">
      <c r="A42" s="9">
        <v>12800017</v>
      </c>
      <c r="B42" s="4" t="s">
        <v>56</v>
      </c>
      <c r="C42" s="4" t="s">
        <v>16</v>
      </c>
      <c r="D42" s="5">
        <v>29</v>
      </c>
      <c r="E42" s="26"/>
      <c r="F42" s="26"/>
      <c r="G42" s="26"/>
      <c r="H42" s="26"/>
      <c r="I42" s="6">
        <v>550</v>
      </c>
      <c r="J42" s="7" t="s">
        <v>472</v>
      </c>
      <c r="K42" s="7">
        <v>20</v>
      </c>
    </row>
    <row r="43" spans="1:11" s="2" customFormat="1" x14ac:dyDescent="0.2">
      <c r="A43" s="9">
        <v>12800014</v>
      </c>
      <c r="B43" s="4" t="s">
        <v>57</v>
      </c>
      <c r="C43" s="4" t="s">
        <v>16</v>
      </c>
      <c r="D43" s="5">
        <v>0</v>
      </c>
      <c r="E43" s="26"/>
      <c r="F43" s="26"/>
      <c r="G43" s="26"/>
      <c r="H43" s="26"/>
      <c r="I43" s="6">
        <v>0</v>
      </c>
      <c r="J43" s="7" t="s">
        <v>472</v>
      </c>
      <c r="K43" s="7">
        <v>2</v>
      </c>
    </row>
    <row r="44" spans="1:11" s="2" customFormat="1" x14ac:dyDescent="0.2">
      <c r="A44" s="9">
        <v>12800038</v>
      </c>
      <c r="B44" s="4" t="s">
        <v>58</v>
      </c>
      <c r="C44" s="4" t="s">
        <v>14</v>
      </c>
      <c r="D44" s="5">
        <v>847</v>
      </c>
      <c r="E44" s="26"/>
      <c r="F44" s="26"/>
      <c r="G44" s="26"/>
      <c r="H44" s="26"/>
      <c r="I44" s="6">
        <v>35</v>
      </c>
      <c r="J44" s="7" t="s">
        <v>471</v>
      </c>
      <c r="K44" s="7"/>
    </row>
    <row r="45" spans="1:11" s="2" customFormat="1" x14ac:dyDescent="0.2">
      <c r="A45" s="9">
        <v>12800015</v>
      </c>
      <c r="B45" s="4" t="s">
        <v>59</v>
      </c>
      <c r="C45" s="4" t="s">
        <v>12</v>
      </c>
      <c r="D45" s="5">
        <v>0</v>
      </c>
      <c r="E45" s="26"/>
      <c r="F45" s="26"/>
      <c r="G45" s="26"/>
      <c r="H45" s="26"/>
      <c r="I45" s="6">
        <v>600</v>
      </c>
      <c r="J45" s="7" t="s">
        <v>472</v>
      </c>
      <c r="K45" s="7">
        <v>1</v>
      </c>
    </row>
    <row r="46" spans="1:11" s="2" customFormat="1" x14ac:dyDescent="0.2">
      <c r="A46" s="9">
        <v>12800008</v>
      </c>
      <c r="B46" s="4" t="s">
        <v>60</v>
      </c>
      <c r="C46" s="4" t="s">
        <v>16</v>
      </c>
      <c r="D46" s="5">
        <v>0</v>
      </c>
      <c r="E46" s="26"/>
      <c r="F46" s="26"/>
      <c r="G46" s="26"/>
      <c r="H46" s="26"/>
      <c r="I46" s="6">
        <v>600</v>
      </c>
      <c r="J46" s="7" t="s">
        <v>472</v>
      </c>
      <c r="K46" s="7">
        <v>5</v>
      </c>
    </row>
    <row r="47" spans="1:11" s="2" customFormat="1" x14ac:dyDescent="0.2">
      <c r="A47" s="9">
        <v>12800009</v>
      </c>
      <c r="B47" s="4" t="s">
        <v>61</v>
      </c>
      <c r="C47" s="4" t="s">
        <v>16</v>
      </c>
      <c r="D47" s="5">
        <v>69</v>
      </c>
      <c r="E47" s="26"/>
      <c r="F47" s="26"/>
      <c r="G47" s="26"/>
      <c r="H47" s="26"/>
      <c r="I47" s="6">
        <v>480</v>
      </c>
      <c r="J47" s="7" t="s">
        <v>472</v>
      </c>
      <c r="K47" s="7">
        <v>20</v>
      </c>
    </row>
    <row r="48" spans="1:11" s="2" customFormat="1" x14ac:dyDescent="0.2">
      <c r="A48" s="9">
        <v>10000031</v>
      </c>
      <c r="B48" s="4" t="s">
        <v>62</v>
      </c>
      <c r="C48" s="4" t="s">
        <v>16</v>
      </c>
      <c r="D48" s="5">
        <v>0</v>
      </c>
      <c r="E48" s="26"/>
      <c r="F48" s="26"/>
      <c r="G48" s="26"/>
      <c r="H48" s="26"/>
      <c r="I48" s="6">
        <v>100</v>
      </c>
      <c r="J48" s="7" t="s">
        <v>471</v>
      </c>
      <c r="K48" s="7"/>
    </row>
    <row r="49" spans="1:11" s="2" customFormat="1" x14ac:dyDescent="0.2">
      <c r="A49" s="9">
        <v>10100012</v>
      </c>
      <c r="B49" s="4" t="s">
        <v>63</v>
      </c>
      <c r="C49" s="4" t="s">
        <v>16</v>
      </c>
      <c r="D49" s="5">
        <v>0</v>
      </c>
      <c r="E49" s="26"/>
      <c r="F49" s="26"/>
      <c r="G49" s="26"/>
      <c r="H49" s="26"/>
      <c r="I49" s="6">
        <v>85</v>
      </c>
      <c r="J49" s="7" t="s">
        <v>471</v>
      </c>
      <c r="K49" s="7"/>
    </row>
    <row r="50" spans="1:11" s="2" customFormat="1" x14ac:dyDescent="0.2">
      <c r="A50" s="9">
        <v>10100013</v>
      </c>
      <c r="B50" s="4" t="s">
        <v>64</v>
      </c>
      <c r="C50" s="4" t="s">
        <v>16</v>
      </c>
      <c r="D50" s="5">
        <v>0</v>
      </c>
      <c r="E50" s="26"/>
      <c r="F50" s="26"/>
      <c r="G50" s="26"/>
      <c r="H50" s="26"/>
      <c r="I50" s="6">
        <v>200</v>
      </c>
      <c r="J50" s="7" t="s">
        <v>471</v>
      </c>
      <c r="K50" s="7"/>
    </row>
    <row r="51" spans="1:11" s="2" customFormat="1" x14ac:dyDescent="0.2">
      <c r="A51" s="9">
        <v>10100014</v>
      </c>
      <c r="B51" s="4" t="s">
        <v>65</v>
      </c>
      <c r="C51" s="4" t="s">
        <v>16</v>
      </c>
      <c r="D51" s="5">
        <v>0</v>
      </c>
      <c r="E51" s="26"/>
      <c r="F51" s="26"/>
      <c r="G51" s="26"/>
      <c r="H51" s="26"/>
      <c r="I51" s="6">
        <v>200</v>
      </c>
      <c r="J51" s="7" t="s">
        <v>471</v>
      </c>
      <c r="K51" s="7"/>
    </row>
    <row r="52" spans="1:11" s="2" customFormat="1" x14ac:dyDescent="0.2">
      <c r="A52" s="9">
        <v>10900007</v>
      </c>
      <c r="B52" s="4" t="s">
        <v>66</v>
      </c>
      <c r="C52" s="4" t="s">
        <v>16</v>
      </c>
      <c r="D52" s="5">
        <v>11</v>
      </c>
      <c r="E52" s="26">
        <v>10</v>
      </c>
      <c r="F52" s="26">
        <f t="shared" ref="F52:F63" si="6">ROUND(E52/2, 0)</f>
        <v>5</v>
      </c>
      <c r="G52" s="26">
        <f t="shared" ref="G52:G63" si="7">E52-F52</f>
        <v>5</v>
      </c>
      <c r="H52" s="26" t="str">
        <f t="shared" ref="H52:H63" si="8">IF(G52&lt;=0,"To Order", "Ok")</f>
        <v>Ok</v>
      </c>
      <c r="I52" s="6">
        <v>20</v>
      </c>
      <c r="J52" s="7" t="s">
        <v>476</v>
      </c>
      <c r="K52" s="7">
        <v>2</v>
      </c>
    </row>
    <row r="53" spans="1:11" s="2" customFormat="1" x14ac:dyDescent="0.2">
      <c r="A53" s="9">
        <v>10600027</v>
      </c>
      <c r="B53" s="4" t="s">
        <v>67</v>
      </c>
      <c r="C53" s="4" t="s">
        <v>14</v>
      </c>
      <c r="D53" s="5">
        <v>3</v>
      </c>
      <c r="E53" s="26"/>
      <c r="F53" s="26">
        <f t="shared" si="6"/>
        <v>0</v>
      </c>
      <c r="G53" s="26">
        <f t="shared" si="7"/>
        <v>0</v>
      </c>
      <c r="H53" s="26" t="str">
        <f t="shared" si="8"/>
        <v>To Order</v>
      </c>
      <c r="I53" s="6">
        <v>220</v>
      </c>
      <c r="J53" s="7" t="s">
        <v>476</v>
      </c>
      <c r="K53" s="7">
        <v>3</v>
      </c>
    </row>
    <row r="54" spans="1:11" s="2" customFormat="1" x14ac:dyDescent="0.2">
      <c r="A54" s="9">
        <v>10800003</v>
      </c>
      <c r="B54" s="4" t="s">
        <v>68</v>
      </c>
      <c r="C54" s="4" t="s">
        <v>12</v>
      </c>
      <c r="D54" s="5">
        <v>0</v>
      </c>
      <c r="E54" s="26"/>
      <c r="F54" s="26">
        <f t="shared" si="6"/>
        <v>0</v>
      </c>
      <c r="G54" s="26">
        <f t="shared" si="7"/>
        <v>0</v>
      </c>
      <c r="H54" s="26" t="str">
        <f t="shared" si="8"/>
        <v>To Order</v>
      </c>
      <c r="I54" s="6">
        <v>250</v>
      </c>
      <c r="J54" s="7" t="s">
        <v>476</v>
      </c>
      <c r="K54" s="7">
        <v>3</v>
      </c>
    </row>
    <row r="55" spans="1:11" s="2" customFormat="1" x14ac:dyDescent="0.2">
      <c r="A55" s="9">
        <v>11100223</v>
      </c>
      <c r="B55" s="4" t="s">
        <v>69</v>
      </c>
      <c r="C55" s="4" t="s">
        <v>16</v>
      </c>
      <c r="D55" s="5">
        <v>0</v>
      </c>
      <c r="E55" s="26"/>
      <c r="F55" s="26">
        <f t="shared" si="6"/>
        <v>0</v>
      </c>
      <c r="G55" s="26">
        <f t="shared" si="7"/>
        <v>0</v>
      </c>
      <c r="H55" s="26" t="str">
        <f t="shared" si="8"/>
        <v>To Order</v>
      </c>
      <c r="I55" s="6">
        <v>3500</v>
      </c>
      <c r="J55" s="7" t="s">
        <v>476</v>
      </c>
      <c r="K55" s="7">
        <v>1</v>
      </c>
    </row>
    <row r="56" spans="1:11" s="2" customFormat="1" x14ac:dyDescent="0.2">
      <c r="A56" s="9">
        <v>10800059</v>
      </c>
      <c r="B56" s="4" t="s">
        <v>70</v>
      </c>
      <c r="C56" s="4" t="s">
        <v>16</v>
      </c>
      <c r="D56" s="5">
        <v>1</v>
      </c>
      <c r="E56" s="26"/>
      <c r="F56" s="26">
        <f t="shared" si="6"/>
        <v>0</v>
      </c>
      <c r="G56" s="26">
        <f t="shared" si="7"/>
        <v>0</v>
      </c>
      <c r="H56" s="26" t="str">
        <f t="shared" si="8"/>
        <v>To Order</v>
      </c>
      <c r="I56" s="6">
        <v>280</v>
      </c>
      <c r="J56" s="7" t="s">
        <v>476</v>
      </c>
      <c r="K56" s="7">
        <v>3</v>
      </c>
    </row>
    <row r="57" spans="1:11" s="2" customFormat="1" x14ac:dyDescent="0.2">
      <c r="A57" s="9">
        <v>11200027</v>
      </c>
      <c r="B57" s="4" t="s">
        <v>71</v>
      </c>
      <c r="C57" s="4" t="s">
        <v>16</v>
      </c>
      <c r="D57" s="5">
        <v>0</v>
      </c>
      <c r="E57" s="26"/>
      <c r="F57" s="26">
        <f t="shared" si="6"/>
        <v>0</v>
      </c>
      <c r="G57" s="26">
        <f t="shared" si="7"/>
        <v>0</v>
      </c>
      <c r="H57" s="26" t="str">
        <f t="shared" si="8"/>
        <v>To Order</v>
      </c>
      <c r="I57" s="6">
        <v>305</v>
      </c>
      <c r="J57" s="7" t="s">
        <v>476</v>
      </c>
      <c r="K57" s="7">
        <v>4</v>
      </c>
    </row>
    <row r="58" spans="1:11" s="2" customFormat="1" x14ac:dyDescent="0.2">
      <c r="A58" s="9">
        <v>11300006</v>
      </c>
      <c r="B58" s="4" t="s">
        <v>72</v>
      </c>
      <c r="C58" s="4" t="s">
        <v>42</v>
      </c>
      <c r="D58" s="5">
        <v>0</v>
      </c>
      <c r="E58" s="26">
        <v>14</v>
      </c>
      <c r="F58" s="26">
        <f t="shared" si="6"/>
        <v>7</v>
      </c>
      <c r="G58" s="26">
        <f t="shared" si="7"/>
        <v>7</v>
      </c>
      <c r="H58" s="26" t="str">
        <f t="shared" si="8"/>
        <v>Ok</v>
      </c>
      <c r="I58" s="6">
        <v>248</v>
      </c>
      <c r="J58" s="7" t="s">
        <v>476</v>
      </c>
      <c r="K58" s="7">
        <v>5</v>
      </c>
    </row>
    <row r="59" spans="1:11" s="2" customFormat="1" x14ac:dyDescent="0.2">
      <c r="A59" s="9">
        <v>11100002</v>
      </c>
      <c r="B59" s="4" t="s">
        <v>73</v>
      </c>
      <c r="C59" s="4" t="s">
        <v>42</v>
      </c>
      <c r="D59" s="5">
        <v>8</v>
      </c>
      <c r="E59" s="26">
        <v>4</v>
      </c>
      <c r="F59" s="26">
        <f t="shared" si="6"/>
        <v>2</v>
      </c>
      <c r="G59" s="26">
        <f t="shared" si="7"/>
        <v>2</v>
      </c>
      <c r="H59" s="26" t="str">
        <f t="shared" si="8"/>
        <v>Ok</v>
      </c>
      <c r="I59" s="6">
        <v>325</v>
      </c>
      <c r="J59" s="7" t="s">
        <v>476</v>
      </c>
      <c r="K59" s="7">
        <v>1</v>
      </c>
    </row>
    <row r="60" spans="1:11" s="2" customFormat="1" x14ac:dyDescent="0.2">
      <c r="A60" s="9">
        <v>11100003</v>
      </c>
      <c r="B60" s="4" t="s">
        <v>74</v>
      </c>
      <c r="C60" s="4" t="s">
        <v>42</v>
      </c>
      <c r="D60" s="5">
        <v>14</v>
      </c>
      <c r="E60" s="26">
        <v>6</v>
      </c>
      <c r="F60" s="26">
        <f t="shared" si="6"/>
        <v>3</v>
      </c>
      <c r="G60" s="26">
        <f t="shared" si="7"/>
        <v>3</v>
      </c>
      <c r="H60" s="26" t="str">
        <f t="shared" si="8"/>
        <v>Ok</v>
      </c>
      <c r="I60" s="6">
        <v>174</v>
      </c>
      <c r="J60" s="7" t="s">
        <v>476</v>
      </c>
      <c r="K60" s="7">
        <v>1</v>
      </c>
    </row>
    <row r="61" spans="1:11" s="2" customFormat="1" x14ac:dyDescent="0.2">
      <c r="A61" s="9">
        <v>11100186</v>
      </c>
      <c r="B61" s="4" t="s">
        <v>75</v>
      </c>
      <c r="C61" s="4" t="s">
        <v>16</v>
      </c>
      <c r="D61" s="5">
        <v>3</v>
      </c>
      <c r="E61" s="26">
        <v>3</v>
      </c>
      <c r="F61" s="26">
        <f t="shared" si="6"/>
        <v>2</v>
      </c>
      <c r="G61" s="26">
        <f t="shared" si="7"/>
        <v>1</v>
      </c>
      <c r="H61" s="26" t="str">
        <f t="shared" si="8"/>
        <v>Ok</v>
      </c>
      <c r="I61" s="6">
        <v>155.17241000000001</v>
      </c>
      <c r="J61" s="7" t="s">
        <v>476</v>
      </c>
      <c r="K61" s="7">
        <v>1</v>
      </c>
    </row>
    <row r="62" spans="1:11" s="2" customFormat="1" x14ac:dyDescent="0.2">
      <c r="A62" s="9">
        <v>15500026</v>
      </c>
      <c r="B62" s="4" t="s">
        <v>76</v>
      </c>
      <c r="C62" s="4" t="s">
        <v>14</v>
      </c>
      <c r="D62" s="5">
        <v>0</v>
      </c>
      <c r="E62" s="26"/>
      <c r="F62" s="26">
        <f t="shared" si="6"/>
        <v>0</v>
      </c>
      <c r="G62" s="26">
        <f t="shared" si="7"/>
        <v>0</v>
      </c>
      <c r="H62" s="26" t="str">
        <f t="shared" si="8"/>
        <v>To Order</v>
      </c>
      <c r="I62" s="6">
        <v>80</v>
      </c>
      <c r="J62" s="7" t="s">
        <v>476</v>
      </c>
      <c r="K62" s="7">
        <v>4</v>
      </c>
    </row>
    <row r="63" spans="1:11" s="2" customFormat="1" x14ac:dyDescent="0.2">
      <c r="A63" s="9">
        <v>10900010</v>
      </c>
      <c r="B63" s="4" t="s">
        <v>77</v>
      </c>
      <c r="C63" s="4" t="s">
        <v>16</v>
      </c>
      <c r="D63" s="5">
        <v>0</v>
      </c>
      <c r="E63" s="26">
        <f>4*2.7</f>
        <v>10.8</v>
      </c>
      <c r="F63" s="26">
        <f t="shared" si="6"/>
        <v>5</v>
      </c>
      <c r="G63" s="26">
        <f t="shared" si="7"/>
        <v>5.8000000000000007</v>
      </c>
      <c r="H63" s="26" t="str">
        <f t="shared" si="8"/>
        <v>Ok</v>
      </c>
      <c r="I63" s="6">
        <v>2920</v>
      </c>
      <c r="J63" s="7" t="s">
        <v>476</v>
      </c>
      <c r="K63" s="7">
        <v>1</v>
      </c>
    </row>
    <row r="64" spans="1:11" s="2" customFormat="1" x14ac:dyDescent="0.2">
      <c r="A64" s="9">
        <v>10000041</v>
      </c>
      <c r="B64" s="4" t="s">
        <v>78</v>
      </c>
      <c r="C64" s="4" t="s">
        <v>79</v>
      </c>
      <c r="D64" s="5">
        <v>0</v>
      </c>
      <c r="E64" s="26"/>
      <c r="F64" s="26"/>
      <c r="G64" s="26"/>
      <c r="H64" s="26"/>
      <c r="I64" s="6">
        <v>100</v>
      </c>
      <c r="J64" s="7" t="s">
        <v>471</v>
      </c>
      <c r="K64" s="7"/>
    </row>
    <row r="65" spans="1:11" s="2" customFormat="1" x14ac:dyDescent="0.2">
      <c r="A65" s="9">
        <v>11100175</v>
      </c>
      <c r="B65" s="4" t="s">
        <v>80</v>
      </c>
      <c r="C65" s="4" t="s">
        <v>12</v>
      </c>
      <c r="D65" s="5">
        <v>27</v>
      </c>
      <c r="E65" s="26">
        <v>26</v>
      </c>
      <c r="F65" s="26">
        <f>ROUND(E65/2, 0)</f>
        <v>13</v>
      </c>
      <c r="G65" s="26">
        <f>E65-F65</f>
        <v>13</v>
      </c>
      <c r="H65" s="26" t="str">
        <f>IF(G65&lt;=0,"To Order", "Ok")</f>
        <v>Ok</v>
      </c>
      <c r="I65" s="6">
        <v>125</v>
      </c>
      <c r="J65" s="7" t="s">
        <v>476</v>
      </c>
      <c r="K65" s="7">
        <v>3</v>
      </c>
    </row>
    <row r="66" spans="1:11" s="2" customFormat="1" x14ac:dyDescent="0.2">
      <c r="A66" s="9">
        <v>11100084</v>
      </c>
      <c r="B66" s="4" t="s">
        <v>81</v>
      </c>
      <c r="C66" s="4" t="s">
        <v>16</v>
      </c>
      <c r="D66" s="5">
        <v>7</v>
      </c>
      <c r="E66" s="26">
        <v>7</v>
      </c>
      <c r="F66" s="26">
        <f>ROUND(E66/2, 0)</f>
        <v>4</v>
      </c>
      <c r="G66" s="26">
        <f>E66-F66</f>
        <v>3</v>
      </c>
      <c r="H66" s="26" t="str">
        <f>IF(G66&lt;=0,"To Order", "Ok")</f>
        <v>Ok</v>
      </c>
      <c r="I66" s="6">
        <v>485</v>
      </c>
      <c r="J66" s="7" t="s">
        <v>476</v>
      </c>
      <c r="K66" s="7">
        <v>1</v>
      </c>
    </row>
    <row r="67" spans="1:11" s="2" customFormat="1" x14ac:dyDescent="0.2">
      <c r="A67" s="9">
        <v>10100015</v>
      </c>
      <c r="B67" s="4" t="s">
        <v>82</v>
      </c>
      <c r="C67" s="4" t="s">
        <v>16</v>
      </c>
      <c r="D67" s="5">
        <v>0</v>
      </c>
      <c r="E67" s="26"/>
      <c r="F67" s="26"/>
      <c r="G67" s="26"/>
      <c r="H67" s="26"/>
      <c r="I67" s="6">
        <v>180</v>
      </c>
      <c r="J67" s="7" t="s">
        <v>471</v>
      </c>
      <c r="K67" s="7"/>
    </row>
    <row r="68" spans="1:11" s="2" customFormat="1" x14ac:dyDescent="0.2">
      <c r="A68" s="9">
        <v>10700019</v>
      </c>
      <c r="B68" s="4" t="s">
        <v>83</v>
      </c>
      <c r="C68" s="4" t="s">
        <v>16</v>
      </c>
      <c r="D68" s="5">
        <v>4</v>
      </c>
      <c r="E68" s="26">
        <v>12</v>
      </c>
      <c r="F68" s="26">
        <f>ROUND(E68/2, 0)</f>
        <v>6</v>
      </c>
      <c r="G68" s="26">
        <f>E68-F68</f>
        <v>6</v>
      </c>
      <c r="H68" s="26" t="str">
        <f>IF(G68&lt;=0,"To Order", "Ok")</f>
        <v>Ok</v>
      </c>
      <c r="I68" s="6">
        <v>110</v>
      </c>
      <c r="J68" s="7" t="s">
        <v>476</v>
      </c>
      <c r="K68" s="7">
        <v>2</v>
      </c>
    </row>
    <row r="69" spans="1:11" s="2" customFormat="1" x14ac:dyDescent="0.2">
      <c r="A69" s="9">
        <v>11200017</v>
      </c>
      <c r="B69" s="4" t="s">
        <v>84</v>
      </c>
      <c r="C69" s="4" t="s">
        <v>16</v>
      </c>
      <c r="D69" s="5">
        <v>6</v>
      </c>
      <c r="E69" s="26">
        <v>6</v>
      </c>
      <c r="F69" s="26">
        <f>ROUND(E69/2, 0)</f>
        <v>3</v>
      </c>
      <c r="G69" s="26">
        <f>E69-F69</f>
        <v>3</v>
      </c>
      <c r="H69" s="26" t="str">
        <f>IF(G69&lt;=0,"To Order", "Ok")</f>
        <v>Ok</v>
      </c>
      <c r="I69" s="6">
        <v>315</v>
      </c>
      <c r="J69" s="7" t="s">
        <v>476</v>
      </c>
      <c r="K69" s="7">
        <v>1</v>
      </c>
    </row>
    <row r="70" spans="1:11" s="2" customFormat="1" x14ac:dyDescent="0.2">
      <c r="A70" s="9">
        <v>11400001</v>
      </c>
      <c r="B70" s="4" t="s">
        <v>85</v>
      </c>
      <c r="C70" s="4" t="s">
        <v>16</v>
      </c>
      <c r="D70" s="5">
        <v>0</v>
      </c>
      <c r="E70" s="26">
        <v>100</v>
      </c>
      <c r="F70" s="26">
        <f>ROUND(E70/2, 0)</f>
        <v>50</v>
      </c>
      <c r="G70" s="26">
        <f>E70-F70</f>
        <v>50</v>
      </c>
      <c r="H70" s="26" t="str">
        <f>IF(G70&lt;=0,"To Order", "Ok")</f>
        <v>Ok</v>
      </c>
      <c r="I70" s="6">
        <v>140</v>
      </c>
      <c r="J70" s="7" t="s">
        <v>476</v>
      </c>
      <c r="K70" s="7"/>
    </row>
    <row r="71" spans="1:11" s="2" customFormat="1" x14ac:dyDescent="0.2">
      <c r="A71" s="9">
        <v>11400013</v>
      </c>
      <c r="B71" s="4" t="s">
        <v>86</v>
      </c>
      <c r="C71" s="4" t="s">
        <v>14</v>
      </c>
      <c r="D71" s="5">
        <v>59</v>
      </c>
      <c r="E71" s="26">
        <v>5</v>
      </c>
      <c r="F71" s="26">
        <f>ROUND(E71/2, 0)</f>
        <v>3</v>
      </c>
      <c r="G71" s="26">
        <f>E71-F71</f>
        <v>2</v>
      </c>
      <c r="H71" s="26" t="str">
        <f>IF(G71&lt;=0,"To Order", "Ok")</f>
        <v>Ok</v>
      </c>
      <c r="I71" s="6">
        <v>189.7</v>
      </c>
      <c r="J71" s="7" t="s">
        <v>476</v>
      </c>
      <c r="K71" s="7">
        <v>1</v>
      </c>
    </row>
    <row r="72" spans="1:11" s="2" customFormat="1" x14ac:dyDescent="0.2">
      <c r="A72" s="9">
        <v>10100016</v>
      </c>
      <c r="B72" s="4" t="s">
        <v>87</v>
      </c>
      <c r="C72" s="4" t="s">
        <v>16</v>
      </c>
      <c r="D72" s="5">
        <v>0</v>
      </c>
      <c r="E72" s="26"/>
      <c r="F72" s="26"/>
      <c r="G72" s="26"/>
      <c r="H72" s="26"/>
      <c r="I72" s="6">
        <v>150</v>
      </c>
      <c r="J72" s="7" t="s">
        <v>471</v>
      </c>
      <c r="K72" s="7"/>
    </row>
    <row r="73" spans="1:11" s="2" customFormat="1" x14ac:dyDescent="0.2">
      <c r="A73" s="9">
        <v>10300003</v>
      </c>
      <c r="B73" s="4" t="s">
        <v>88</v>
      </c>
      <c r="C73" s="4" t="s">
        <v>16</v>
      </c>
      <c r="D73" s="5">
        <v>3</v>
      </c>
      <c r="E73" s="26"/>
      <c r="F73" s="26"/>
      <c r="G73" s="26"/>
      <c r="H73" s="26"/>
      <c r="I73" s="6">
        <v>1275.8800000000001</v>
      </c>
      <c r="J73" s="7" t="s">
        <v>472</v>
      </c>
      <c r="K73" s="7"/>
    </row>
    <row r="74" spans="1:11" s="2" customFormat="1" x14ac:dyDescent="0.2">
      <c r="A74" s="9">
        <v>12500011</v>
      </c>
      <c r="B74" s="4" t="s">
        <v>89</v>
      </c>
      <c r="C74" s="4" t="s">
        <v>14</v>
      </c>
      <c r="D74" s="5">
        <v>0</v>
      </c>
      <c r="E74" s="26"/>
      <c r="F74" s="26"/>
      <c r="G74" s="26"/>
      <c r="H74" s="26"/>
      <c r="I74" s="6">
        <v>580</v>
      </c>
      <c r="J74" s="7" t="s">
        <v>472</v>
      </c>
      <c r="K74" s="7"/>
    </row>
    <row r="75" spans="1:11" s="2" customFormat="1" x14ac:dyDescent="0.2">
      <c r="A75" s="9">
        <v>10600004</v>
      </c>
      <c r="B75" s="4" t="s">
        <v>90</v>
      </c>
      <c r="C75" s="4" t="s">
        <v>14</v>
      </c>
      <c r="D75" s="5">
        <v>17</v>
      </c>
      <c r="E75" s="26"/>
      <c r="F75" s="26"/>
      <c r="G75" s="26"/>
      <c r="H75" s="26"/>
      <c r="I75" s="6">
        <v>474.13792999999998</v>
      </c>
      <c r="J75" s="7" t="s">
        <v>472</v>
      </c>
      <c r="K75" s="7"/>
    </row>
    <row r="76" spans="1:11" s="2" customFormat="1" x14ac:dyDescent="0.2">
      <c r="A76" s="9">
        <v>10100018</v>
      </c>
      <c r="B76" s="4" t="s">
        <v>91</v>
      </c>
      <c r="C76" s="4" t="s">
        <v>16</v>
      </c>
      <c r="D76" s="5">
        <v>0</v>
      </c>
      <c r="E76" s="26"/>
      <c r="F76" s="26"/>
      <c r="G76" s="26"/>
      <c r="H76" s="26"/>
      <c r="I76" s="6">
        <v>80</v>
      </c>
      <c r="J76" s="7" t="s">
        <v>471</v>
      </c>
      <c r="K76" s="7"/>
    </row>
    <row r="77" spans="1:11" s="2" customFormat="1" x14ac:dyDescent="0.2">
      <c r="A77" s="9">
        <v>10100017</v>
      </c>
      <c r="B77" s="4" t="s">
        <v>92</v>
      </c>
      <c r="C77" s="4" t="s">
        <v>79</v>
      </c>
      <c r="D77" s="5">
        <v>0</v>
      </c>
      <c r="E77" s="26"/>
      <c r="F77" s="26"/>
      <c r="G77" s="26"/>
      <c r="H77" s="26"/>
      <c r="I77" s="6">
        <v>230</v>
      </c>
      <c r="J77" s="7" t="s">
        <v>471</v>
      </c>
      <c r="K77" s="7"/>
    </row>
    <row r="78" spans="1:11" s="2" customFormat="1" x14ac:dyDescent="0.2">
      <c r="A78" s="9">
        <v>13300007</v>
      </c>
      <c r="B78" s="4" t="s">
        <v>93</v>
      </c>
      <c r="C78" s="4" t="s">
        <v>16</v>
      </c>
      <c r="D78" s="5">
        <v>3</v>
      </c>
      <c r="E78" s="26"/>
      <c r="F78" s="26"/>
      <c r="G78" s="26"/>
      <c r="H78" s="26"/>
      <c r="I78" s="6">
        <v>1000</v>
      </c>
      <c r="J78" s="7" t="s">
        <v>472</v>
      </c>
      <c r="K78" s="7"/>
    </row>
    <row r="79" spans="1:11" s="2" customFormat="1" x14ac:dyDescent="0.2">
      <c r="A79" s="9">
        <v>11400020</v>
      </c>
      <c r="B79" s="4" t="s">
        <v>94</v>
      </c>
      <c r="C79" s="4" t="s">
        <v>14</v>
      </c>
      <c r="D79" s="5">
        <v>4000</v>
      </c>
      <c r="E79" s="26"/>
      <c r="F79" s="26">
        <f t="shared" ref="F79:F84" si="9">ROUND(E79/2, 0)</f>
        <v>0</v>
      </c>
      <c r="G79" s="26">
        <f t="shared" ref="G79:G84" si="10">E79-F79</f>
        <v>0</v>
      </c>
      <c r="H79" s="26" t="str">
        <f t="shared" ref="H79:H84" si="11">IF(G79&lt;=0,"To Order", "Ok")</f>
        <v>To Order</v>
      </c>
      <c r="I79" s="6">
        <v>3.3</v>
      </c>
      <c r="J79" s="7" t="s">
        <v>476</v>
      </c>
      <c r="K79" s="7"/>
    </row>
    <row r="80" spans="1:11" s="2" customFormat="1" x14ac:dyDescent="0.2">
      <c r="A80" s="9">
        <v>11400002</v>
      </c>
      <c r="B80" s="4" t="s">
        <v>95</v>
      </c>
      <c r="C80" s="4" t="s">
        <v>16</v>
      </c>
      <c r="D80" s="5">
        <v>0</v>
      </c>
      <c r="E80" s="26">
        <v>3</v>
      </c>
      <c r="F80" s="26"/>
      <c r="G80" s="26">
        <f t="shared" si="10"/>
        <v>3</v>
      </c>
      <c r="H80" s="26" t="str">
        <f t="shared" si="11"/>
        <v>Ok</v>
      </c>
      <c r="I80" s="6">
        <v>3100</v>
      </c>
      <c r="J80" s="7" t="s">
        <v>476</v>
      </c>
      <c r="K80" s="7">
        <v>1</v>
      </c>
    </row>
    <row r="81" spans="1:11" s="2" customFormat="1" x14ac:dyDescent="0.2">
      <c r="A81" s="9">
        <v>11100097</v>
      </c>
      <c r="B81" s="4" t="s">
        <v>96</v>
      </c>
      <c r="C81" s="4" t="s">
        <v>42</v>
      </c>
      <c r="D81" s="5">
        <v>2</v>
      </c>
      <c r="E81" s="26">
        <v>1</v>
      </c>
      <c r="F81" s="26"/>
      <c r="G81" s="26">
        <f t="shared" si="10"/>
        <v>1</v>
      </c>
      <c r="H81" s="26" t="str">
        <f t="shared" si="11"/>
        <v>Ok</v>
      </c>
      <c r="I81" s="6">
        <v>450</v>
      </c>
      <c r="J81" s="7" t="s">
        <v>476</v>
      </c>
      <c r="K81" s="7"/>
    </row>
    <row r="82" spans="1:11" s="2" customFormat="1" x14ac:dyDescent="0.2">
      <c r="A82" s="9">
        <v>11100009</v>
      </c>
      <c r="B82" s="4" t="s">
        <v>97</v>
      </c>
      <c r="C82" s="4" t="s">
        <v>98</v>
      </c>
      <c r="D82" s="5">
        <v>2</v>
      </c>
      <c r="E82" s="26">
        <v>2</v>
      </c>
      <c r="F82" s="26">
        <f t="shared" si="9"/>
        <v>1</v>
      </c>
      <c r="G82" s="26">
        <f t="shared" si="10"/>
        <v>1</v>
      </c>
      <c r="H82" s="26" t="str">
        <f t="shared" si="11"/>
        <v>Ok</v>
      </c>
      <c r="I82" s="6">
        <v>206</v>
      </c>
      <c r="J82" s="7" t="s">
        <v>476</v>
      </c>
      <c r="K82" s="7">
        <v>1</v>
      </c>
    </row>
    <row r="83" spans="1:11" s="2" customFormat="1" x14ac:dyDescent="0.2">
      <c r="A83" s="9">
        <v>11100008</v>
      </c>
      <c r="B83" s="4" t="s">
        <v>99</v>
      </c>
      <c r="C83" s="4" t="s">
        <v>42</v>
      </c>
      <c r="D83" s="5">
        <v>2</v>
      </c>
      <c r="E83" s="26">
        <v>1</v>
      </c>
      <c r="F83" s="26">
        <f t="shared" si="9"/>
        <v>1</v>
      </c>
      <c r="G83" s="26">
        <f t="shared" si="10"/>
        <v>0</v>
      </c>
      <c r="H83" s="26" t="str">
        <f t="shared" si="11"/>
        <v>To Order</v>
      </c>
      <c r="I83" s="6">
        <v>625</v>
      </c>
      <c r="J83" s="7" t="s">
        <v>476</v>
      </c>
      <c r="K83" s="7"/>
    </row>
    <row r="84" spans="1:11" s="2" customFormat="1" x14ac:dyDescent="0.2">
      <c r="A84" s="9">
        <v>11100161</v>
      </c>
      <c r="B84" s="4" t="s">
        <v>100</v>
      </c>
      <c r="C84" s="4" t="s">
        <v>16</v>
      </c>
      <c r="D84" s="5">
        <v>1</v>
      </c>
      <c r="E84" s="26">
        <v>1</v>
      </c>
      <c r="F84" s="26">
        <f t="shared" si="9"/>
        <v>1</v>
      </c>
      <c r="G84" s="26">
        <f t="shared" si="10"/>
        <v>0</v>
      </c>
      <c r="H84" s="26" t="str">
        <f t="shared" si="11"/>
        <v>To Order</v>
      </c>
      <c r="I84" s="6">
        <v>992</v>
      </c>
      <c r="J84" s="7" t="s">
        <v>476</v>
      </c>
      <c r="K84" s="7"/>
    </row>
    <row r="85" spans="1:11" s="2" customFormat="1" x14ac:dyDescent="0.2">
      <c r="A85" s="9">
        <v>10100019</v>
      </c>
      <c r="B85" s="4" t="s">
        <v>101</v>
      </c>
      <c r="C85" s="4" t="s">
        <v>16</v>
      </c>
      <c r="D85" s="5">
        <v>0</v>
      </c>
      <c r="E85" s="26"/>
      <c r="F85" s="26"/>
      <c r="G85" s="26"/>
      <c r="H85" s="26"/>
      <c r="I85" s="6">
        <v>55</v>
      </c>
      <c r="J85" s="7" t="s">
        <v>471</v>
      </c>
      <c r="K85" s="7"/>
    </row>
    <row r="86" spans="1:11" s="2" customFormat="1" x14ac:dyDescent="0.2">
      <c r="A86" s="9">
        <v>11500001</v>
      </c>
      <c r="B86" s="4" t="s">
        <v>102</v>
      </c>
      <c r="C86" s="4" t="s">
        <v>16</v>
      </c>
      <c r="D86" s="5">
        <v>0</v>
      </c>
      <c r="E86" s="26">
        <v>5</v>
      </c>
      <c r="F86" s="26">
        <f>ROUND(E86/2, 0)</f>
        <v>3</v>
      </c>
      <c r="G86" s="26">
        <f>E86-F86</f>
        <v>2</v>
      </c>
      <c r="H86" s="26" t="str">
        <f>IF(G86&lt;=0,"To Order", "Ok")</f>
        <v>Ok</v>
      </c>
      <c r="I86" s="6">
        <v>650</v>
      </c>
      <c r="J86" s="7" t="s">
        <v>476</v>
      </c>
      <c r="K86" s="7"/>
    </row>
    <row r="87" spans="1:11" s="2" customFormat="1" x14ac:dyDescent="0.2">
      <c r="A87" s="9">
        <v>10100052</v>
      </c>
      <c r="B87" s="4" t="s">
        <v>103</v>
      </c>
      <c r="C87" s="4" t="s">
        <v>16</v>
      </c>
      <c r="D87" s="5">
        <v>0</v>
      </c>
      <c r="E87" s="26"/>
      <c r="F87" s="26"/>
      <c r="G87" s="26"/>
      <c r="H87" s="26"/>
      <c r="I87" s="6">
        <v>130</v>
      </c>
      <c r="J87" s="7" t="s">
        <v>471</v>
      </c>
      <c r="K87" s="7"/>
    </row>
    <row r="88" spans="1:11" s="2" customFormat="1" x14ac:dyDescent="0.2">
      <c r="A88" s="9">
        <v>11400025</v>
      </c>
      <c r="B88" s="4" t="s">
        <v>104</v>
      </c>
      <c r="C88" s="4" t="s">
        <v>42</v>
      </c>
      <c r="D88" s="5">
        <v>8</v>
      </c>
      <c r="E88" s="26">
        <v>1</v>
      </c>
      <c r="F88" s="26">
        <f>ROUND(E88/2, 0)</f>
        <v>1</v>
      </c>
      <c r="G88" s="26">
        <f>E88-F88</f>
        <v>0</v>
      </c>
      <c r="H88" s="26" t="str">
        <f>IF(G88&lt;=0,"To Order", "Ok")</f>
        <v>To Order</v>
      </c>
      <c r="I88" s="6">
        <v>43</v>
      </c>
      <c r="J88" s="7" t="s">
        <v>476</v>
      </c>
      <c r="K88" s="7"/>
    </row>
    <row r="89" spans="1:11" s="2" customFormat="1" x14ac:dyDescent="0.2">
      <c r="A89" s="9">
        <v>10100020</v>
      </c>
      <c r="B89" s="4" t="s">
        <v>105</v>
      </c>
      <c r="C89" s="4" t="s">
        <v>16</v>
      </c>
      <c r="D89" s="5">
        <v>0</v>
      </c>
      <c r="E89" s="26"/>
      <c r="F89" s="26"/>
      <c r="G89" s="26"/>
      <c r="H89" s="26"/>
      <c r="I89" s="6">
        <v>160</v>
      </c>
      <c r="J89" s="7" t="s">
        <v>471</v>
      </c>
      <c r="K89" s="7"/>
    </row>
    <row r="90" spans="1:11" s="2" customFormat="1" x14ac:dyDescent="0.2">
      <c r="A90" s="9">
        <v>11100011</v>
      </c>
      <c r="B90" s="4" t="s">
        <v>106</v>
      </c>
      <c r="C90" s="4" t="s">
        <v>42</v>
      </c>
      <c r="D90" s="5">
        <v>14</v>
      </c>
      <c r="E90" s="26">
        <v>7</v>
      </c>
      <c r="F90" s="26">
        <f>ROUND(E90/2, 0)</f>
        <v>4</v>
      </c>
      <c r="G90" s="26">
        <f>E90-F90</f>
        <v>3</v>
      </c>
      <c r="H90" s="26" t="str">
        <f>IF(G90&lt;=0,"To Order", "Ok")</f>
        <v>Ok</v>
      </c>
      <c r="I90" s="6">
        <v>190</v>
      </c>
      <c r="J90" s="7" t="s">
        <v>476</v>
      </c>
      <c r="K90" s="7">
        <v>1</v>
      </c>
    </row>
    <row r="91" spans="1:11" s="2" customFormat="1" x14ac:dyDescent="0.2">
      <c r="A91" s="9">
        <v>10100021</v>
      </c>
      <c r="B91" s="4" t="s">
        <v>107</v>
      </c>
      <c r="C91" s="4" t="s">
        <v>16</v>
      </c>
      <c r="D91" s="5">
        <v>0</v>
      </c>
      <c r="E91" s="26"/>
      <c r="F91" s="26"/>
      <c r="G91" s="26"/>
      <c r="H91" s="26"/>
      <c r="I91" s="6">
        <v>130</v>
      </c>
      <c r="J91" s="7" t="s">
        <v>471</v>
      </c>
      <c r="K91" s="7"/>
    </row>
    <row r="92" spans="1:11" s="2" customFormat="1" x14ac:dyDescent="0.2">
      <c r="A92" s="9">
        <v>11200018</v>
      </c>
      <c r="B92" s="4" t="s">
        <v>108</v>
      </c>
      <c r="C92" s="4" t="s">
        <v>16</v>
      </c>
      <c r="D92" s="5">
        <v>2</v>
      </c>
      <c r="E92" s="26"/>
      <c r="F92" s="26">
        <f>ROUND(E92/2, 0)</f>
        <v>0</v>
      </c>
      <c r="G92" s="26">
        <f>E92-F92</f>
        <v>0</v>
      </c>
      <c r="H92" s="26" t="str">
        <f>IF(G92&lt;=0,"To Order", "Ok")</f>
        <v>To Order</v>
      </c>
      <c r="I92" s="6">
        <v>275</v>
      </c>
      <c r="J92" s="7" t="s">
        <v>476</v>
      </c>
      <c r="K92" s="7"/>
    </row>
    <row r="93" spans="1:11" s="2" customFormat="1" x14ac:dyDescent="0.2">
      <c r="A93" s="9">
        <v>11100173</v>
      </c>
      <c r="B93" s="4" t="s">
        <v>109</v>
      </c>
      <c r="C93" s="4" t="s">
        <v>12</v>
      </c>
      <c r="D93" s="5">
        <v>718</v>
      </c>
      <c r="E93" s="26">
        <v>1</v>
      </c>
      <c r="F93" s="26">
        <f>ROUND(E93/2, 0)</f>
        <v>1</v>
      </c>
      <c r="G93" s="26">
        <f>E93-F93</f>
        <v>0</v>
      </c>
      <c r="H93" s="26" t="str">
        <f>IF(G93&lt;=0,"To Order", "Ok")</f>
        <v>To Order</v>
      </c>
      <c r="I93" s="6">
        <v>24.137899999999998</v>
      </c>
      <c r="J93" s="7" t="s">
        <v>476</v>
      </c>
      <c r="K93" s="7">
        <v>1</v>
      </c>
    </row>
    <row r="94" spans="1:11" s="2" customFormat="1" x14ac:dyDescent="0.2">
      <c r="A94" s="9">
        <v>10300001</v>
      </c>
      <c r="B94" s="4" t="s">
        <v>110</v>
      </c>
      <c r="C94" s="4" t="s">
        <v>16</v>
      </c>
      <c r="D94" s="5">
        <v>11</v>
      </c>
      <c r="E94" s="26"/>
      <c r="F94" s="26">
        <f>ROUND(E94/2, 0)</f>
        <v>0</v>
      </c>
      <c r="G94" s="26">
        <f>E94-F94</f>
        <v>0</v>
      </c>
      <c r="H94" s="26" t="str">
        <f>IF(G94&lt;=0,"To Order", "Ok")</f>
        <v>To Order</v>
      </c>
      <c r="I94" s="6">
        <v>1120.68966</v>
      </c>
      <c r="J94" s="7" t="s">
        <v>476</v>
      </c>
      <c r="K94" s="7"/>
    </row>
    <row r="95" spans="1:11" s="2" customFormat="1" x14ac:dyDescent="0.2">
      <c r="A95" s="9">
        <v>10000020</v>
      </c>
      <c r="B95" s="4" t="s">
        <v>111</v>
      </c>
      <c r="C95" s="4" t="s">
        <v>14</v>
      </c>
      <c r="D95" s="5">
        <v>0</v>
      </c>
      <c r="E95" s="26">
        <v>1</v>
      </c>
      <c r="F95" s="26">
        <f>ROUND(E95/2, 0)</f>
        <v>1</v>
      </c>
      <c r="G95" s="26">
        <f>E95-F95</f>
        <v>0</v>
      </c>
      <c r="H95" s="26" t="str">
        <f>IF(G95&lt;=0,"To Order", "Ok")</f>
        <v>To Order</v>
      </c>
      <c r="I95" s="6">
        <v>890</v>
      </c>
      <c r="J95" s="7" t="s">
        <v>476</v>
      </c>
      <c r="K95" s="7"/>
    </row>
    <row r="96" spans="1:11" s="2" customFormat="1" x14ac:dyDescent="0.2">
      <c r="A96" s="9">
        <v>10000019</v>
      </c>
      <c r="B96" s="4" t="s">
        <v>112</v>
      </c>
      <c r="C96" s="4" t="s">
        <v>14</v>
      </c>
      <c r="D96" s="5">
        <v>0</v>
      </c>
      <c r="E96" s="26">
        <v>1</v>
      </c>
      <c r="F96" s="26">
        <f>ROUND(E96/2, 0)</f>
        <v>1</v>
      </c>
      <c r="G96" s="26">
        <f>E96-F96</f>
        <v>0</v>
      </c>
      <c r="H96" s="26" t="str">
        <f>IF(G96&lt;=0,"To Order", "Ok")</f>
        <v>To Order</v>
      </c>
      <c r="I96" s="6">
        <v>660</v>
      </c>
      <c r="J96" s="7" t="s">
        <v>476</v>
      </c>
      <c r="K96" s="7"/>
    </row>
    <row r="97" spans="1:11" s="2" customFormat="1" x14ac:dyDescent="0.2">
      <c r="A97" s="9">
        <v>10100022</v>
      </c>
      <c r="B97" s="4" t="s">
        <v>113</v>
      </c>
      <c r="C97" s="4" t="s">
        <v>79</v>
      </c>
      <c r="D97" s="5">
        <v>0</v>
      </c>
      <c r="E97" s="26"/>
      <c r="F97" s="26"/>
      <c r="G97" s="26"/>
      <c r="H97" s="26"/>
      <c r="I97" s="6">
        <v>45</v>
      </c>
      <c r="J97" s="7" t="s">
        <v>471</v>
      </c>
      <c r="K97" s="7"/>
    </row>
    <row r="98" spans="1:11" s="2" customFormat="1" x14ac:dyDescent="0.2">
      <c r="A98" s="9">
        <v>11600001</v>
      </c>
      <c r="B98" s="4" t="s">
        <v>114</v>
      </c>
      <c r="C98" s="4" t="s">
        <v>16</v>
      </c>
      <c r="D98" s="5">
        <v>4</v>
      </c>
      <c r="E98" s="26">
        <v>4</v>
      </c>
      <c r="F98" s="26">
        <f>ROUND(E98/2, 0)</f>
        <v>2</v>
      </c>
      <c r="G98" s="26">
        <f>E98-F98</f>
        <v>2</v>
      </c>
      <c r="H98" s="26" t="str">
        <f>IF(G98&lt;=0,"To Order", "Ok")</f>
        <v>Ok</v>
      </c>
      <c r="I98" s="6">
        <v>315</v>
      </c>
      <c r="J98" s="7" t="s">
        <v>476</v>
      </c>
      <c r="K98" s="7">
        <v>2</v>
      </c>
    </row>
    <row r="99" spans="1:11" s="2" customFormat="1" x14ac:dyDescent="0.2">
      <c r="A99" s="9">
        <v>12900009</v>
      </c>
      <c r="B99" s="4" t="s">
        <v>115</v>
      </c>
      <c r="C99" s="4" t="s">
        <v>16</v>
      </c>
      <c r="D99" s="5">
        <v>40</v>
      </c>
      <c r="E99" s="26"/>
      <c r="F99" s="26"/>
      <c r="G99" s="26"/>
      <c r="H99" s="26"/>
      <c r="I99" s="6">
        <v>700</v>
      </c>
      <c r="J99" s="7" t="s">
        <v>472</v>
      </c>
      <c r="K99" s="7"/>
    </row>
    <row r="100" spans="1:11" s="2" customFormat="1" x14ac:dyDescent="0.2">
      <c r="A100" s="9">
        <v>11100012</v>
      </c>
      <c r="B100" s="4" t="s">
        <v>116</v>
      </c>
      <c r="C100" s="4" t="s">
        <v>12</v>
      </c>
      <c r="D100" s="5">
        <v>0</v>
      </c>
      <c r="E100" s="26"/>
      <c r="F100" s="26"/>
      <c r="G100" s="26"/>
      <c r="H100" s="26"/>
      <c r="I100" s="6">
        <v>720</v>
      </c>
      <c r="J100" s="7" t="s">
        <v>472</v>
      </c>
      <c r="K100" s="7"/>
    </row>
    <row r="101" spans="1:11" s="2" customFormat="1" x14ac:dyDescent="0.2">
      <c r="A101" s="9">
        <v>12900016</v>
      </c>
      <c r="B101" s="4" t="s">
        <v>117</v>
      </c>
      <c r="C101" s="4" t="s">
        <v>16</v>
      </c>
      <c r="D101" s="5">
        <v>18</v>
      </c>
      <c r="E101" s="26"/>
      <c r="F101" s="26"/>
      <c r="G101" s="26"/>
      <c r="H101" s="26"/>
      <c r="I101" s="6">
        <v>550</v>
      </c>
      <c r="J101" s="7" t="s">
        <v>472</v>
      </c>
      <c r="K101" s="7"/>
    </row>
    <row r="102" spans="1:11" s="2" customFormat="1" x14ac:dyDescent="0.2">
      <c r="A102" s="9">
        <v>11100216</v>
      </c>
      <c r="B102" s="4" t="s">
        <v>118</v>
      </c>
      <c r="C102" s="4" t="s">
        <v>42</v>
      </c>
      <c r="D102" s="5">
        <v>0</v>
      </c>
      <c r="E102" s="26"/>
      <c r="F102" s="26"/>
      <c r="G102" s="26"/>
      <c r="H102" s="26"/>
      <c r="I102" s="6">
        <v>215</v>
      </c>
      <c r="J102" s="7" t="s">
        <v>472</v>
      </c>
      <c r="K102" s="7"/>
    </row>
    <row r="103" spans="1:11" s="2" customFormat="1" x14ac:dyDescent="0.2">
      <c r="A103" s="9">
        <v>12900003</v>
      </c>
      <c r="B103" s="4" t="s">
        <v>119</v>
      </c>
      <c r="C103" s="4" t="s">
        <v>16</v>
      </c>
      <c r="D103" s="5">
        <v>1.5</v>
      </c>
      <c r="E103" s="26"/>
      <c r="F103" s="26"/>
      <c r="G103" s="26"/>
      <c r="H103" s="26"/>
      <c r="I103" s="6">
        <v>650</v>
      </c>
      <c r="J103" s="7" t="s">
        <v>472</v>
      </c>
      <c r="K103" s="7"/>
    </row>
    <row r="104" spans="1:11" s="2" customFormat="1" x14ac:dyDescent="0.2">
      <c r="A104" s="9">
        <v>12900001</v>
      </c>
      <c r="B104" s="4" t="s">
        <v>120</v>
      </c>
      <c r="C104" s="4" t="s">
        <v>12</v>
      </c>
      <c r="D104" s="5">
        <v>0</v>
      </c>
      <c r="E104" s="26"/>
      <c r="F104" s="26"/>
      <c r="G104" s="26"/>
      <c r="H104" s="26"/>
      <c r="I104" s="6">
        <v>690</v>
      </c>
      <c r="J104" s="7" t="s">
        <v>472</v>
      </c>
      <c r="K104" s="7"/>
    </row>
    <row r="105" spans="1:11" s="2" customFormat="1" x14ac:dyDescent="0.2">
      <c r="A105" s="9">
        <v>12900006</v>
      </c>
      <c r="B105" s="4" t="s">
        <v>121</v>
      </c>
      <c r="C105" s="4" t="s">
        <v>16</v>
      </c>
      <c r="D105" s="5">
        <v>0</v>
      </c>
      <c r="E105" s="26"/>
      <c r="F105" s="26"/>
      <c r="G105" s="26"/>
      <c r="H105" s="26"/>
      <c r="I105" s="6">
        <v>650</v>
      </c>
      <c r="J105" s="7" t="s">
        <v>472</v>
      </c>
      <c r="K105" s="7"/>
    </row>
    <row r="106" spans="1:11" s="2" customFormat="1" x14ac:dyDescent="0.2">
      <c r="A106" s="9">
        <v>12900011</v>
      </c>
      <c r="B106" s="4" t="s">
        <v>122</v>
      </c>
      <c r="C106" s="4" t="s">
        <v>16</v>
      </c>
      <c r="D106" s="5">
        <v>14.9</v>
      </c>
      <c r="E106" s="26"/>
      <c r="F106" s="26"/>
      <c r="G106" s="26"/>
      <c r="H106" s="26"/>
      <c r="I106" s="6">
        <v>650</v>
      </c>
      <c r="J106" s="7" t="s">
        <v>472</v>
      </c>
      <c r="K106" s="7"/>
    </row>
    <row r="107" spans="1:11" s="2" customFormat="1" x14ac:dyDescent="0.2">
      <c r="A107" s="9">
        <v>11100234</v>
      </c>
      <c r="B107" s="4" t="s">
        <v>123</v>
      </c>
      <c r="C107" s="4" t="s">
        <v>14</v>
      </c>
      <c r="D107" s="5">
        <v>7</v>
      </c>
      <c r="E107" s="26">
        <v>7</v>
      </c>
      <c r="F107" s="26">
        <f t="shared" ref="F107:F118" si="12">ROUND(E107/2, 0)</f>
        <v>4</v>
      </c>
      <c r="G107" s="26">
        <f t="shared" ref="G107:G118" si="13">E107-F107</f>
        <v>3</v>
      </c>
      <c r="H107" s="26" t="str">
        <f t="shared" ref="H107:H118" si="14">IF(G107&lt;=0,"To Order", "Ok")</f>
        <v>Ok</v>
      </c>
      <c r="I107" s="6">
        <v>398</v>
      </c>
      <c r="J107" s="7" t="s">
        <v>476</v>
      </c>
      <c r="K107" s="7">
        <v>1</v>
      </c>
    </row>
    <row r="108" spans="1:11" s="2" customFormat="1" x14ac:dyDescent="0.2">
      <c r="A108" s="9">
        <v>11100103</v>
      </c>
      <c r="B108" s="4" t="s">
        <v>124</v>
      </c>
      <c r="C108" s="4" t="s">
        <v>42</v>
      </c>
      <c r="D108" s="5">
        <v>10</v>
      </c>
      <c r="E108" s="26">
        <v>4</v>
      </c>
      <c r="F108" s="26">
        <f t="shared" si="12"/>
        <v>2</v>
      </c>
      <c r="G108" s="26">
        <f t="shared" si="13"/>
        <v>2</v>
      </c>
      <c r="H108" s="26" t="str">
        <f t="shared" si="14"/>
        <v>Ok</v>
      </c>
      <c r="I108" s="6">
        <v>380</v>
      </c>
      <c r="J108" s="7" t="s">
        <v>476</v>
      </c>
      <c r="K108" s="7">
        <v>1</v>
      </c>
    </row>
    <row r="109" spans="1:11" s="2" customFormat="1" x14ac:dyDescent="0.2">
      <c r="A109" s="9">
        <v>11800029</v>
      </c>
      <c r="B109" s="4" t="s">
        <v>125</v>
      </c>
      <c r="C109" s="4" t="s">
        <v>20</v>
      </c>
      <c r="D109" s="5">
        <v>30</v>
      </c>
      <c r="E109" s="26">
        <v>25</v>
      </c>
      <c r="F109" s="26">
        <f t="shared" si="12"/>
        <v>13</v>
      </c>
      <c r="G109" s="26">
        <f t="shared" si="13"/>
        <v>12</v>
      </c>
      <c r="H109" s="26" t="str">
        <f t="shared" si="14"/>
        <v>Ok</v>
      </c>
      <c r="I109" s="6">
        <v>87.6</v>
      </c>
      <c r="J109" s="7" t="s">
        <v>476</v>
      </c>
      <c r="K109" s="7">
        <v>1</v>
      </c>
    </row>
    <row r="110" spans="1:11" s="2" customFormat="1" x14ac:dyDescent="0.2">
      <c r="A110" s="9">
        <v>11800011</v>
      </c>
      <c r="B110" s="4" t="s">
        <v>126</v>
      </c>
      <c r="C110" s="4" t="s">
        <v>127</v>
      </c>
      <c r="D110" s="5">
        <v>2</v>
      </c>
      <c r="E110" s="26">
        <v>2</v>
      </c>
      <c r="F110" s="26">
        <f t="shared" si="12"/>
        <v>1</v>
      </c>
      <c r="G110" s="26">
        <f t="shared" si="13"/>
        <v>1</v>
      </c>
      <c r="H110" s="26" t="str">
        <f t="shared" si="14"/>
        <v>Ok</v>
      </c>
      <c r="I110" s="6">
        <v>2400</v>
      </c>
      <c r="J110" s="7" t="s">
        <v>476</v>
      </c>
      <c r="K110" s="7"/>
    </row>
    <row r="111" spans="1:11" s="2" customFormat="1" x14ac:dyDescent="0.2">
      <c r="A111" s="9">
        <v>10600002</v>
      </c>
      <c r="B111" s="4" t="s">
        <v>128</v>
      </c>
      <c r="C111" s="4" t="s">
        <v>16</v>
      </c>
      <c r="D111" s="5">
        <v>0</v>
      </c>
      <c r="E111" s="26">
        <v>5</v>
      </c>
      <c r="F111" s="26">
        <f t="shared" si="12"/>
        <v>3</v>
      </c>
      <c r="G111" s="26">
        <f t="shared" si="13"/>
        <v>2</v>
      </c>
      <c r="H111" s="26" t="str">
        <f t="shared" si="14"/>
        <v>Ok</v>
      </c>
      <c r="I111" s="6">
        <v>596</v>
      </c>
      <c r="J111" s="7" t="s">
        <v>476</v>
      </c>
      <c r="K111" s="7">
        <v>2</v>
      </c>
    </row>
    <row r="112" spans="1:11" s="2" customFormat="1" x14ac:dyDescent="0.2">
      <c r="A112" s="9">
        <v>10600003</v>
      </c>
      <c r="B112" s="4" t="s">
        <v>129</v>
      </c>
      <c r="C112" s="4" t="s">
        <v>16</v>
      </c>
      <c r="D112" s="5">
        <v>0</v>
      </c>
      <c r="E112" s="26"/>
      <c r="F112" s="26">
        <f t="shared" si="12"/>
        <v>0</v>
      </c>
      <c r="G112" s="26">
        <f t="shared" si="13"/>
        <v>0</v>
      </c>
      <c r="H112" s="26" t="str">
        <f t="shared" si="14"/>
        <v>To Order</v>
      </c>
      <c r="I112" s="6">
        <v>2120</v>
      </c>
      <c r="J112" s="7" t="s">
        <v>476</v>
      </c>
      <c r="K112" s="7"/>
    </row>
    <row r="113" spans="1:11" s="2" customFormat="1" x14ac:dyDescent="0.2">
      <c r="A113" s="9">
        <v>10400001</v>
      </c>
      <c r="B113" s="4" t="s">
        <v>130</v>
      </c>
      <c r="C113" s="4" t="s">
        <v>20</v>
      </c>
      <c r="D113" s="5">
        <v>12</v>
      </c>
      <c r="E113" s="26"/>
      <c r="F113" s="26">
        <f t="shared" si="12"/>
        <v>0</v>
      </c>
      <c r="G113" s="26">
        <f t="shared" si="13"/>
        <v>0</v>
      </c>
      <c r="H113" s="26" t="str">
        <f t="shared" si="14"/>
        <v>To Order</v>
      </c>
      <c r="I113" s="6">
        <v>187.5</v>
      </c>
      <c r="J113" s="7" t="s">
        <v>476</v>
      </c>
      <c r="K113" s="7"/>
    </row>
    <row r="114" spans="1:11" s="2" customFormat="1" x14ac:dyDescent="0.2">
      <c r="A114" s="9">
        <v>12000006</v>
      </c>
      <c r="B114" s="4" t="s">
        <v>131</v>
      </c>
      <c r="C114" s="4" t="s">
        <v>132</v>
      </c>
      <c r="D114" s="5">
        <v>22</v>
      </c>
      <c r="E114" s="26">
        <v>22</v>
      </c>
      <c r="F114" s="26">
        <f t="shared" si="12"/>
        <v>11</v>
      </c>
      <c r="G114" s="26">
        <f t="shared" si="13"/>
        <v>11</v>
      </c>
      <c r="H114" s="26" t="str">
        <f t="shared" si="14"/>
        <v>Ok</v>
      </c>
      <c r="I114" s="6">
        <v>380</v>
      </c>
      <c r="J114" s="7" t="s">
        <v>476</v>
      </c>
      <c r="K114" s="7">
        <v>5</v>
      </c>
    </row>
    <row r="115" spans="1:11" s="2" customFormat="1" x14ac:dyDescent="0.2">
      <c r="A115" s="9">
        <v>12800037</v>
      </c>
      <c r="B115" s="4" t="s">
        <v>133</v>
      </c>
      <c r="C115" s="4" t="s">
        <v>16</v>
      </c>
      <c r="D115" s="5">
        <v>0</v>
      </c>
      <c r="E115" s="26"/>
      <c r="F115" s="26">
        <f t="shared" si="12"/>
        <v>0</v>
      </c>
      <c r="G115" s="26">
        <f t="shared" si="13"/>
        <v>0</v>
      </c>
      <c r="H115" s="26" t="str">
        <f t="shared" si="14"/>
        <v>To Order</v>
      </c>
      <c r="I115" s="6">
        <v>1150</v>
      </c>
      <c r="J115" s="7" t="s">
        <v>476</v>
      </c>
      <c r="K115" s="7"/>
    </row>
    <row r="116" spans="1:11" s="2" customFormat="1" x14ac:dyDescent="0.2">
      <c r="A116" s="9">
        <v>11100013</v>
      </c>
      <c r="B116" s="4" t="s">
        <v>134</v>
      </c>
      <c r="C116" s="4" t="s">
        <v>42</v>
      </c>
      <c r="D116" s="5">
        <v>6</v>
      </c>
      <c r="E116" s="26">
        <v>3</v>
      </c>
      <c r="F116" s="26">
        <f t="shared" si="12"/>
        <v>2</v>
      </c>
      <c r="G116" s="26">
        <f t="shared" si="13"/>
        <v>1</v>
      </c>
      <c r="H116" s="26" t="str">
        <f t="shared" si="14"/>
        <v>Ok</v>
      </c>
      <c r="I116" s="6">
        <v>187.5</v>
      </c>
      <c r="J116" s="7" t="s">
        <v>476</v>
      </c>
      <c r="K116" s="7">
        <v>1</v>
      </c>
    </row>
    <row r="117" spans="1:11" s="2" customFormat="1" x14ac:dyDescent="0.2">
      <c r="A117" s="9">
        <v>11100014</v>
      </c>
      <c r="B117" s="4" t="s">
        <v>135</v>
      </c>
      <c r="C117" s="4" t="s">
        <v>12</v>
      </c>
      <c r="D117" s="5">
        <v>6</v>
      </c>
      <c r="E117" s="26">
        <v>6</v>
      </c>
      <c r="F117" s="26">
        <f t="shared" si="12"/>
        <v>3</v>
      </c>
      <c r="G117" s="26">
        <f t="shared" si="13"/>
        <v>3</v>
      </c>
      <c r="H117" s="26" t="str">
        <f t="shared" si="14"/>
        <v>Ok</v>
      </c>
      <c r="I117" s="6">
        <v>225</v>
      </c>
      <c r="J117" s="7" t="s">
        <v>476</v>
      </c>
      <c r="K117" s="7">
        <v>1</v>
      </c>
    </row>
    <row r="118" spans="1:11" s="2" customFormat="1" x14ac:dyDescent="0.2">
      <c r="A118" s="9">
        <v>11100153</v>
      </c>
      <c r="B118" s="4" t="s">
        <v>136</v>
      </c>
      <c r="C118" s="4" t="s">
        <v>42</v>
      </c>
      <c r="D118" s="5">
        <v>2</v>
      </c>
      <c r="E118" s="26">
        <v>2</v>
      </c>
      <c r="F118" s="26">
        <f t="shared" si="12"/>
        <v>1</v>
      </c>
      <c r="G118" s="26">
        <f t="shared" si="13"/>
        <v>1</v>
      </c>
      <c r="H118" s="26" t="str">
        <f t="shared" si="14"/>
        <v>Ok</v>
      </c>
      <c r="I118" s="6">
        <v>180</v>
      </c>
      <c r="J118" s="7" t="s">
        <v>476</v>
      </c>
      <c r="K118" s="7">
        <v>1</v>
      </c>
    </row>
    <row r="119" spans="1:11" s="2" customFormat="1" x14ac:dyDescent="0.2">
      <c r="A119" s="9">
        <v>16300027</v>
      </c>
      <c r="B119" s="4" t="s">
        <v>137</v>
      </c>
      <c r="C119" s="4" t="s">
        <v>14</v>
      </c>
      <c r="D119" s="5">
        <v>0</v>
      </c>
      <c r="E119" s="26"/>
      <c r="F119" s="26"/>
      <c r="G119" s="26"/>
      <c r="H119" s="26"/>
      <c r="I119" s="6">
        <v>818.96551999999997</v>
      </c>
      <c r="J119" s="7" t="s">
        <v>473</v>
      </c>
      <c r="K119" s="7"/>
    </row>
    <row r="120" spans="1:11" s="2" customFormat="1" x14ac:dyDescent="0.2">
      <c r="A120" s="9">
        <v>11100015</v>
      </c>
      <c r="B120" s="4" t="s">
        <v>138</v>
      </c>
      <c r="C120" s="4" t="s">
        <v>42</v>
      </c>
      <c r="D120" s="5">
        <v>10</v>
      </c>
      <c r="E120" s="26">
        <v>5</v>
      </c>
      <c r="F120" s="26">
        <f>ROUND(E120/2, 0)</f>
        <v>3</v>
      </c>
      <c r="G120" s="26">
        <f>E120-F120</f>
        <v>2</v>
      </c>
      <c r="H120" s="26" t="str">
        <f>IF(G120&lt;=0,"To Order", "Ok")</f>
        <v>Ok</v>
      </c>
      <c r="I120" s="6">
        <v>445</v>
      </c>
      <c r="J120" s="7" t="s">
        <v>476</v>
      </c>
      <c r="K120" s="7">
        <v>1</v>
      </c>
    </row>
    <row r="121" spans="1:11" s="2" customFormat="1" x14ac:dyDescent="0.2">
      <c r="A121" s="9">
        <v>11100016</v>
      </c>
      <c r="B121" s="4" t="s">
        <v>139</v>
      </c>
      <c r="C121" s="4" t="s">
        <v>42</v>
      </c>
      <c r="D121" s="5">
        <v>4</v>
      </c>
      <c r="E121" s="26">
        <v>2</v>
      </c>
      <c r="F121" s="26">
        <f>ROUND(E121/2, 0)</f>
        <v>1</v>
      </c>
      <c r="G121" s="26">
        <f>E121-F121</f>
        <v>1</v>
      </c>
      <c r="H121" s="26" t="str">
        <f>IF(G121&lt;=0,"To Order", "Ok")</f>
        <v>Ok</v>
      </c>
      <c r="I121" s="6">
        <v>472.5</v>
      </c>
      <c r="J121" s="7" t="s">
        <v>476</v>
      </c>
      <c r="K121" s="7">
        <v>1</v>
      </c>
    </row>
    <row r="122" spans="1:11" s="2" customFormat="1" x14ac:dyDescent="0.2">
      <c r="A122" s="9">
        <v>11100017</v>
      </c>
      <c r="B122" s="4" t="s">
        <v>140</v>
      </c>
      <c r="C122" s="4" t="s">
        <v>16</v>
      </c>
      <c r="D122" s="5">
        <v>0</v>
      </c>
      <c r="E122" s="26">
        <v>2</v>
      </c>
      <c r="F122" s="26">
        <f>ROUND(E122/2, 0)</f>
        <v>1</v>
      </c>
      <c r="G122" s="26">
        <f>E122-F122</f>
        <v>1</v>
      </c>
      <c r="H122" s="26" t="str">
        <f>IF(G122&lt;=0,"To Order", "Ok")</f>
        <v>Ok</v>
      </c>
      <c r="I122" s="6">
        <v>490</v>
      </c>
      <c r="J122" s="7" t="s">
        <v>476</v>
      </c>
      <c r="K122" s="7">
        <v>1</v>
      </c>
    </row>
    <row r="123" spans="1:11" s="2" customFormat="1" x14ac:dyDescent="0.2">
      <c r="A123" s="9">
        <v>10100091</v>
      </c>
      <c r="B123" s="4" t="s">
        <v>141</v>
      </c>
      <c r="C123" s="4" t="s">
        <v>14</v>
      </c>
      <c r="D123" s="5">
        <v>0</v>
      </c>
      <c r="E123" s="26"/>
      <c r="F123" s="26"/>
      <c r="G123" s="26"/>
      <c r="H123" s="26"/>
      <c r="I123" s="6">
        <v>60</v>
      </c>
      <c r="J123" s="7" t="s">
        <v>471</v>
      </c>
      <c r="K123" s="7"/>
    </row>
    <row r="124" spans="1:11" s="2" customFormat="1" x14ac:dyDescent="0.2">
      <c r="A124" s="9">
        <v>10600043</v>
      </c>
      <c r="B124" s="4" t="s">
        <v>142</v>
      </c>
      <c r="C124" s="4" t="s">
        <v>143</v>
      </c>
      <c r="D124" s="5">
        <v>15</v>
      </c>
      <c r="E124" s="26">
        <v>14</v>
      </c>
      <c r="F124" s="26">
        <f>ROUND(E124/2, 0)</f>
        <v>7</v>
      </c>
      <c r="G124" s="26">
        <f>E124-F124</f>
        <v>7</v>
      </c>
      <c r="H124" s="26" t="str">
        <f>IF(G124&lt;=0,"To Order", "Ok")</f>
        <v>Ok</v>
      </c>
      <c r="I124" s="6">
        <v>250</v>
      </c>
      <c r="J124" s="7" t="s">
        <v>476</v>
      </c>
      <c r="K124" s="7">
        <v>5</v>
      </c>
    </row>
    <row r="125" spans="1:11" s="2" customFormat="1" x14ac:dyDescent="0.2">
      <c r="A125" s="9">
        <v>10600045</v>
      </c>
      <c r="B125" s="4" t="s">
        <v>144</v>
      </c>
      <c r="C125" s="4" t="s">
        <v>143</v>
      </c>
      <c r="D125" s="5">
        <v>60</v>
      </c>
      <c r="E125" s="26">
        <v>35</v>
      </c>
      <c r="F125" s="26">
        <f>ROUND(E125/2, 0)</f>
        <v>18</v>
      </c>
      <c r="G125" s="26">
        <f>E125-F125</f>
        <v>17</v>
      </c>
      <c r="H125" s="26" t="str">
        <f>IF(G125&lt;=0,"To Order", "Ok")</f>
        <v>Ok</v>
      </c>
      <c r="I125" s="6">
        <v>90</v>
      </c>
      <c r="J125" s="7" t="s">
        <v>476</v>
      </c>
      <c r="K125" s="7">
        <v>7</v>
      </c>
    </row>
    <row r="126" spans="1:11" s="2" customFormat="1" x14ac:dyDescent="0.2">
      <c r="A126" s="9">
        <v>12300005</v>
      </c>
      <c r="B126" s="4" t="s">
        <v>145</v>
      </c>
      <c r="C126" s="4" t="s">
        <v>16</v>
      </c>
      <c r="D126" s="5">
        <v>0</v>
      </c>
      <c r="E126" s="26">
        <v>2</v>
      </c>
      <c r="F126" s="26">
        <f>ROUND(E126/2, 0)</f>
        <v>1</v>
      </c>
      <c r="G126" s="26">
        <f>E126-F126</f>
        <v>1</v>
      </c>
      <c r="H126" s="26" t="str">
        <f>IF(G126&lt;=0,"To Order", "Ok")</f>
        <v>Ok</v>
      </c>
      <c r="I126" s="6">
        <v>1200</v>
      </c>
      <c r="J126" s="7" t="s">
        <v>476</v>
      </c>
      <c r="K126" s="7">
        <v>2</v>
      </c>
    </row>
    <row r="127" spans="1:11" s="2" customFormat="1" x14ac:dyDescent="0.2">
      <c r="A127" s="9">
        <v>15000010</v>
      </c>
      <c r="B127" s="4" t="s">
        <v>146</v>
      </c>
      <c r="C127" s="4" t="s">
        <v>14</v>
      </c>
      <c r="D127" s="5">
        <v>0</v>
      </c>
      <c r="E127" s="26"/>
      <c r="F127" s="26">
        <f>ROUND(E127/2, 0)</f>
        <v>0</v>
      </c>
      <c r="G127" s="26">
        <f>E127-F127</f>
        <v>0</v>
      </c>
      <c r="H127" s="26" t="str">
        <f>IF(G127&lt;=0,"To Order", "Ok")</f>
        <v>To Order</v>
      </c>
      <c r="I127" s="6">
        <v>2600</v>
      </c>
      <c r="J127" s="7" t="s">
        <v>476</v>
      </c>
      <c r="K127" s="7"/>
    </row>
    <row r="128" spans="1:11" s="2" customFormat="1" x14ac:dyDescent="0.2">
      <c r="A128" s="9">
        <v>13600051</v>
      </c>
      <c r="B128" s="4" t="s">
        <v>147</v>
      </c>
      <c r="C128" s="4" t="s">
        <v>148</v>
      </c>
      <c r="D128" s="5">
        <v>2</v>
      </c>
      <c r="E128" s="26"/>
      <c r="F128" s="26"/>
      <c r="G128" s="26"/>
      <c r="H128" s="26"/>
      <c r="I128" s="6">
        <v>16137.93096</v>
      </c>
      <c r="J128" s="7" t="s">
        <v>475</v>
      </c>
      <c r="K128" s="7"/>
    </row>
    <row r="129" spans="1:11" s="2" customFormat="1" x14ac:dyDescent="0.2">
      <c r="A129" s="9">
        <v>13100003</v>
      </c>
      <c r="B129" s="4" t="s">
        <v>149</v>
      </c>
      <c r="C129" s="4" t="s">
        <v>16</v>
      </c>
      <c r="D129" s="5">
        <v>9</v>
      </c>
      <c r="E129" s="26"/>
      <c r="F129" s="26"/>
      <c r="G129" s="26"/>
      <c r="H129" s="26"/>
      <c r="I129" s="6">
        <v>1200</v>
      </c>
      <c r="J129" s="7" t="s">
        <v>472</v>
      </c>
      <c r="K129" s="7"/>
    </row>
    <row r="130" spans="1:11" s="2" customFormat="1" x14ac:dyDescent="0.2">
      <c r="A130" s="9">
        <v>15900143</v>
      </c>
      <c r="B130" s="4" t="s">
        <v>150</v>
      </c>
      <c r="C130" s="4" t="s">
        <v>14</v>
      </c>
      <c r="D130" s="5">
        <v>0</v>
      </c>
      <c r="E130" s="26"/>
      <c r="F130" s="26"/>
      <c r="G130" s="26"/>
      <c r="H130" s="26"/>
      <c r="I130" s="6">
        <v>35</v>
      </c>
      <c r="J130" s="7" t="s">
        <v>475</v>
      </c>
      <c r="K130" s="7"/>
    </row>
    <row r="131" spans="1:11" s="2" customFormat="1" x14ac:dyDescent="0.2">
      <c r="A131" s="9">
        <v>10600026</v>
      </c>
      <c r="B131" s="4" t="s">
        <v>151</v>
      </c>
      <c r="C131" s="4" t="s">
        <v>20</v>
      </c>
      <c r="D131" s="5">
        <v>0</v>
      </c>
      <c r="E131" s="26">
        <v>24</v>
      </c>
      <c r="F131" s="26">
        <f>ROUND(E131/2, 0)</f>
        <v>12</v>
      </c>
      <c r="G131" s="26">
        <f>E131-F131</f>
        <v>12</v>
      </c>
      <c r="H131" s="26" t="str">
        <f>IF(G131&lt;=0,"To Order", "Ok")</f>
        <v>Ok</v>
      </c>
      <c r="I131" s="6">
        <v>648</v>
      </c>
      <c r="J131" s="7" t="s">
        <v>476</v>
      </c>
      <c r="K131" s="7">
        <v>15</v>
      </c>
    </row>
    <row r="132" spans="1:11" s="2" customFormat="1" x14ac:dyDescent="0.2">
      <c r="A132" s="9">
        <v>10100095</v>
      </c>
      <c r="B132" s="4" t="s">
        <v>152</v>
      </c>
      <c r="C132" s="4" t="s">
        <v>14</v>
      </c>
      <c r="D132" s="5">
        <v>0</v>
      </c>
      <c r="E132" s="26"/>
      <c r="F132" s="26"/>
      <c r="G132" s="26"/>
      <c r="H132" s="26"/>
      <c r="I132" s="6">
        <v>10</v>
      </c>
      <c r="J132" s="7" t="s">
        <v>471</v>
      </c>
      <c r="K132" s="7"/>
    </row>
    <row r="133" spans="1:11" s="2" customFormat="1" x14ac:dyDescent="0.2">
      <c r="A133" s="9">
        <v>11100019</v>
      </c>
      <c r="B133" s="4" t="s">
        <v>153</v>
      </c>
      <c r="C133" s="4" t="s">
        <v>42</v>
      </c>
      <c r="D133" s="5">
        <v>0</v>
      </c>
      <c r="E133" s="26">
        <v>3</v>
      </c>
      <c r="F133" s="26">
        <f t="shared" ref="F133:F138" si="15">ROUND(E133/2, 0)</f>
        <v>2</v>
      </c>
      <c r="G133" s="26">
        <f t="shared" ref="G133:G138" si="16">E133-F133</f>
        <v>1</v>
      </c>
      <c r="H133" s="26" t="str">
        <f t="shared" ref="H133:H138" si="17">IF(G133&lt;=0,"To Order", "Ok")</f>
        <v>Ok</v>
      </c>
      <c r="I133" s="6">
        <v>112.5</v>
      </c>
      <c r="J133" s="7" t="s">
        <v>476</v>
      </c>
      <c r="K133" s="7">
        <v>1</v>
      </c>
    </row>
    <row r="134" spans="1:11" s="2" customFormat="1" x14ac:dyDescent="0.2">
      <c r="A134" s="9">
        <v>10800078</v>
      </c>
      <c r="B134" s="4" t="s">
        <v>154</v>
      </c>
      <c r="C134" s="4" t="s">
        <v>155</v>
      </c>
      <c r="D134" s="5">
        <v>90</v>
      </c>
      <c r="E134" s="26">
        <v>17</v>
      </c>
      <c r="F134" s="26">
        <f t="shared" si="15"/>
        <v>9</v>
      </c>
      <c r="G134" s="26">
        <f t="shared" si="16"/>
        <v>8</v>
      </c>
      <c r="H134" s="26" t="str">
        <f t="shared" si="17"/>
        <v>Ok</v>
      </c>
      <c r="I134" s="6">
        <v>100</v>
      </c>
      <c r="J134" s="7" t="s">
        <v>476</v>
      </c>
      <c r="K134" s="7">
        <v>4</v>
      </c>
    </row>
    <row r="135" spans="1:11" s="2" customFormat="1" x14ac:dyDescent="0.2">
      <c r="A135" s="9">
        <v>11100020</v>
      </c>
      <c r="B135" s="4" t="s">
        <v>156</v>
      </c>
      <c r="C135" s="4" t="s">
        <v>24</v>
      </c>
      <c r="D135" s="5">
        <v>28</v>
      </c>
      <c r="E135" s="26">
        <v>21</v>
      </c>
      <c r="F135" s="26">
        <f t="shared" si="15"/>
        <v>11</v>
      </c>
      <c r="G135" s="26">
        <f t="shared" si="16"/>
        <v>10</v>
      </c>
      <c r="H135" s="26" t="str">
        <f t="shared" si="17"/>
        <v>Ok</v>
      </c>
      <c r="I135" s="6">
        <v>66.400000000000006</v>
      </c>
      <c r="J135" s="7" t="s">
        <v>476</v>
      </c>
      <c r="K135" s="7">
        <v>8</v>
      </c>
    </row>
    <row r="136" spans="1:11" s="2" customFormat="1" x14ac:dyDescent="0.2">
      <c r="A136" s="9">
        <v>11100200</v>
      </c>
      <c r="B136" s="4" t="s">
        <v>157</v>
      </c>
      <c r="C136" s="4" t="s">
        <v>14</v>
      </c>
      <c r="D136" s="5">
        <v>0</v>
      </c>
      <c r="E136" s="26"/>
      <c r="F136" s="26">
        <f t="shared" si="15"/>
        <v>0</v>
      </c>
      <c r="G136" s="26">
        <f t="shared" si="16"/>
        <v>0</v>
      </c>
      <c r="H136" s="26" t="str">
        <f t="shared" si="17"/>
        <v>To Order</v>
      </c>
      <c r="I136" s="6">
        <v>260</v>
      </c>
      <c r="J136" s="7" t="s">
        <v>476</v>
      </c>
      <c r="K136" s="7">
        <v>1</v>
      </c>
    </row>
    <row r="137" spans="1:11" s="2" customFormat="1" x14ac:dyDescent="0.2">
      <c r="A137" s="9">
        <v>11100219</v>
      </c>
      <c r="B137" s="4" t="s">
        <v>158</v>
      </c>
      <c r="C137" s="4" t="s">
        <v>42</v>
      </c>
      <c r="D137" s="5">
        <v>2</v>
      </c>
      <c r="E137" s="26">
        <v>1</v>
      </c>
      <c r="F137" s="26">
        <f t="shared" si="15"/>
        <v>1</v>
      </c>
      <c r="G137" s="26">
        <f t="shared" si="16"/>
        <v>0</v>
      </c>
      <c r="H137" s="26" t="str">
        <f t="shared" si="17"/>
        <v>To Order</v>
      </c>
      <c r="I137" s="6">
        <v>450</v>
      </c>
      <c r="J137" s="7" t="s">
        <v>476</v>
      </c>
      <c r="K137" s="7">
        <v>1</v>
      </c>
    </row>
    <row r="138" spans="1:11" s="2" customFormat="1" x14ac:dyDescent="0.2">
      <c r="A138" s="9">
        <v>12100012</v>
      </c>
      <c r="B138" s="4" t="s">
        <v>159</v>
      </c>
      <c r="C138" s="4" t="s">
        <v>20</v>
      </c>
      <c r="D138" s="5">
        <v>6</v>
      </c>
      <c r="E138" s="26">
        <v>6</v>
      </c>
      <c r="F138" s="26">
        <f t="shared" si="15"/>
        <v>3</v>
      </c>
      <c r="G138" s="26">
        <f t="shared" si="16"/>
        <v>3</v>
      </c>
      <c r="H138" s="26" t="str">
        <f t="shared" si="17"/>
        <v>Ok</v>
      </c>
      <c r="I138" s="6">
        <v>370</v>
      </c>
      <c r="J138" s="7" t="s">
        <v>476</v>
      </c>
      <c r="K138" s="7">
        <v>2</v>
      </c>
    </row>
    <row r="139" spans="1:11" s="2" customFormat="1" x14ac:dyDescent="0.2">
      <c r="A139" s="9">
        <v>10600022</v>
      </c>
      <c r="B139" s="4" t="s">
        <v>160</v>
      </c>
      <c r="C139" s="4" t="s">
        <v>14</v>
      </c>
      <c r="D139" s="5">
        <v>5</v>
      </c>
      <c r="E139" s="26"/>
      <c r="F139" s="26"/>
      <c r="G139" s="26"/>
      <c r="H139" s="26"/>
      <c r="I139" s="6">
        <v>612.07000000000005</v>
      </c>
      <c r="J139" s="7" t="s">
        <v>472</v>
      </c>
      <c r="K139" s="7"/>
    </row>
    <row r="140" spans="1:11" s="2" customFormat="1" x14ac:dyDescent="0.2">
      <c r="A140" s="9">
        <v>15000009</v>
      </c>
      <c r="B140" s="4" t="s">
        <v>161</v>
      </c>
      <c r="C140" s="4" t="s">
        <v>14</v>
      </c>
      <c r="D140" s="5">
        <v>5</v>
      </c>
      <c r="E140" s="26"/>
      <c r="F140" s="26">
        <f>ROUND(E140/2, 0)</f>
        <v>0</v>
      </c>
      <c r="G140" s="26">
        <f>E140-F140</f>
        <v>0</v>
      </c>
      <c r="H140" s="26" t="str">
        <f>IF(G140&lt;=0,"To Order", "Ok")</f>
        <v>To Order</v>
      </c>
      <c r="I140" s="6">
        <v>1760</v>
      </c>
      <c r="J140" s="7" t="s">
        <v>476</v>
      </c>
      <c r="K140" s="7"/>
    </row>
    <row r="141" spans="1:11" s="2" customFormat="1" x14ac:dyDescent="0.2">
      <c r="A141" s="9">
        <v>10200001</v>
      </c>
      <c r="B141" s="4" t="s">
        <v>162</v>
      </c>
      <c r="C141" s="4" t="s">
        <v>16</v>
      </c>
      <c r="D141" s="5">
        <v>60</v>
      </c>
      <c r="E141" s="26">
        <v>4</v>
      </c>
      <c r="F141" s="26">
        <f>ROUND(E141/2, 0)</f>
        <v>2</v>
      </c>
      <c r="G141" s="26">
        <f>E141-F141</f>
        <v>2</v>
      </c>
      <c r="H141" s="26" t="str">
        <f>IF(G141&lt;=0,"To Order", "Ok")</f>
        <v>Ok</v>
      </c>
      <c r="I141" s="6">
        <v>300</v>
      </c>
      <c r="J141" s="7" t="s">
        <v>476</v>
      </c>
      <c r="K141" s="7">
        <v>2</v>
      </c>
    </row>
    <row r="142" spans="1:11" s="2" customFormat="1" x14ac:dyDescent="0.2">
      <c r="A142" s="9">
        <v>10100023</v>
      </c>
      <c r="B142" s="4" t="s">
        <v>163</v>
      </c>
      <c r="C142" s="4" t="s">
        <v>16</v>
      </c>
      <c r="D142" s="5">
        <v>0</v>
      </c>
      <c r="E142" s="26"/>
      <c r="F142" s="26"/>
      <c r="G142" s="26"/>
      <c r="H142" s="26"/>
      <c r="I142" s="6">
        <v>75</v>
      </c>
      <c r="J142" s="7" t="s">
        <v>471</v>
      </c>
      <c r="K142" s="7"/>
    </row>
    <row r="143" spans="1:11" s="2" customFormat="1" x14ac:dyDescent="0.2">
      <c r="A143" s="9">
        <v>11100139</v>
      </c>
      <c r="B143" s="4" t="s">
        <v>164</v>
      </c>
      <c r="C143" s="4" t="s">
        <v>42</v>
      </c>
      <c r="D143" s="5">
        <v>3</v>
      </c>
      <c r="E143" s="26"/>
      <c r="F143" s="26">
        <f>ROUND(E143/2, 0)</f>
        <v>0</v>
      </c>
      <c r="G143" s="26">
        <f>E143-F143</f>
        <v>0</v>
      </c>
      <c r="H143" s="26" t="str">
        <f>IF(G143&lt;=0,"To Order", "Ok")</f>
        <v>To Order</v>
      </c>
      <c r="I143" s="6">
        <v>210</v>
      </c>
      <c r="J143" s="7" t="s">
        <v>476</v>
      </c>
      <c r="K143" s="7"/>
    </row>
    <row r="144" spans="1:11" s="2" customFormat="1" x14ac:dyDescent="0.2">
      <c r="A144" s="9">
        <v>11100021</v>
      </c>
      <c r="B144" s="4" t="s">
        <v>165</v>
      </c>
      <c r="C144" s="4" t="s">
        <v>42</v>
      </c>
      <c r="D144" s="5">
        <v>2</v>
      </c>
      <c r="E144" s="26">
        <v>2</v>
      </c>
      <c r="F144" s="26">
        <f>ROUND(E144/2, 0)</f>
        <v>1</v>
      </c>
      <c r="G144" s="26">
        <f>E144-F144</f>
        <v>1</v>
      </c>
      <c r="H144" s="26" t="str">
        <f>IF(G144&lt;=0,"To Order", "Ok")</f>
        <v>Ok</v>
      </c>
      <c r="I144" s="6">
        <v>694</v>
      </c>
      <c r="J144" s="7" t="s">
        <v>476</v>
      </c>
      <c r="K144" s="7">
        <v>1</v>
      </c>
    </row>
    <row r="145" spans="1:11" s="2" customFormat="1" x14ac:dyDescent="0.2">
      <c r="A145" s="9">
        <v>10100082</v>
      </c>
      <c r="B145" s="4" t="s">
        <v>166</v>
      </c>
      <c r="C145" s="4" t="s">
        <v>8</v>
      </c>
      <c r="D145" s="5">
        <v>0</v>
      </c>
      <c r="E145" s="26"/>
      <c r="F145" s="26"/>
      <c r="G145" s="26"/>
      <c r="H145" s="26"/>
      <c r="I145" s="6">
        <v>50</v>
      </c>
      <c r="J145" s="7" t="s">
        <v>471</v>
      </c>
      <c r="K145" s="7"/>
    </row>
    <row r="146" spans="1:11" s="2" customFormat="1" x14ac:dyDescent="0.2">
      <c r="A146" s="9">
        <v>11100022</v>
      </c>
      <c r="B146" s="4" t="s">
        <v>167</v>
      </c>
      <c r="C146" s="4" t="s">
        <v>42</v>
      </c>
      <c r="D146" s="5">
        <v>12</v>
      </c>
      <c r="E146" s="26">
        <v>6</v>
      </c>
      <c r="F146" s="26">
        <f>ROUND(E146/2, 0)</f>
        <v>3</v>
      </c>
      <c r="G146" s="26">
        <f>E146-F146</f>
        <v>3</v>
      </c>
      <c r="H146" s="26" t="str">
        <f>IF(G146&lt;=0,"To Order", "Ok")</f>
        <v>Ok</v>
      </c>
      <c r="I146" s="6">
        <v>112.5</v>
      </c>
      <c r="J146" s="7" t="s">
        <v>476</v>
      </c>
      <c r="K146" s="7">
        <v>1</v>
      </c>
    </row>
    <row r="147" spans="1:11" s="2" customFormat="1" x14ac:dyDescent="0.2">
      <c r="A147" s="9">
        <v>11100130</v>
      </c>
      <c r="B147" s="4" t="s">
        <v>168</v>
      </c>
      <c r="C147" s="4" t="s">
        <v>42</v>
      </c>
      <c r="D147" s="5">
        <v>7</v>
      </c>
      <c r="E147" s="26">
        <v>6</v>
      </c>
      <c r="F147" s="26">
        <f>ROUND(E147/2, 0)</f>
        <v>3</v>
      </c>
      <c r="G147" s="26">
        <f>E147-F147</f>
        <v>3</v>
      </c>
      <c r="H147" s="26" t="str">
        <f>IF(G147&lt;=0,"To Order", "Ok")</f>
        <v>Ok</v>
      </c>
      <c r="I147" s="6">
        <v>64</v>
      </c>
      <c r="J147" s="7" t="s">
        <v>476</v>
      </c>
      <c r="K147" s="7">
        <v>1</v>
      </c>
    </row>
    <row r="148" spans="1:11" s="2" customFormat="1" x14ac:dyDescent="0.2">
      <c r="A148" s="9">
        <v>11100222</v>
      </c>
      <c r="B148" s="4" t="s">
        <v>169</v>
      </c>
      <c r="C148" s="4" t="s">
        <v>10</v>
      </c>
      <c r="D148" s="5">
        <v>0</v>
      </c>
      <c r="E148" s="26"/>
      <c r="F148" s="26">
        <f>ROUND(E148/2, 0)</f>
        <v>0</v>
      </c>
      <c r="G148" s="26">
        <f>E148-F148</f>
        <v>0</v>
      </c>
      <c r="H148" s="26" t="str">
        <f>IF(G148&lt;=0,"To Order", "Ok")</f>
        <v>To Order</v>
      </c>
      <c r="I148" s="6">
        <v>100</v>
      </c>
      <c r="J148" s="7" t="s">
        <v>476</v>
      </c>
      <c r="K148" s="7"/>
    </row>
    <row r="149" spans="1:11" s="2" customFormat="1" x14ac:dyDescent="0.2">
      <c r="A149" s="9">
        <v>12300007</v>
      </c>
      <c r="B149" s="4" t="s">
        <v>170</v>
      </c>
      <c r="C149" s="4" t="s">
        <v>12</v>
      </c>
      <c r="D149" s="5">
        <v>5</v>
      </c>
      <c r="E149" s="26">
        <v>10</v>
      </c>
      <c r="F149" s="26">
        <f>ROUND(E149/2, 0)</f>
        <v>5</v>
      </c>
      <c r="G149" s="26">
        <f>E149-F149</f>
        <v>5</v>
      </c>
      <c r="H149" s="26" t="str">
        <f>IF(G149&lt;=0,"To Order", "Ok")</f>
        <v>Ok</v>
      </c>
      <c r="I149" s="6">
        <v>1120.68966</v>
      </c>
      <c r="J149" s="7" t="s">
        <v>476</v>
      </c>
      <c r="K149" s="7">
        <v>6</v>
      </c>
    </row>
    <row r="150" spans="1:11" s="2" customFormat="1" x14ac:dyDescent="0.2">
      <c r="A150" s="9">
        <v>11800004</v>
      </c>
      <c r="B150" s="4" t="s">
        <v>171</v>
      </c>
      <c r="C150" s="4" t="s">
        <v>132</v>
      </c>
      <c r="D150" s="5">
        <v>16</v>
      </c>
      <c r="E150" s="26">
        <v>14</v>
      </c>
      <c r="F150" s="26">
        <f>ROUND(E150/2, 0)</f>
        <v>7</v>
      </c>
      <c r="G150" s="26">
        <f>E150-F150</f>
        <v>7</v>
      </c>
      <c r="H150" s="26" t="str">
        <f>IF(G150&lt;=0,"To Order", "Ok")</f>
        <v>Ok</v>
      </c>
      <c r="I150" s="6">
        <v>250</v>
      </c>
      <c r="J150" s="7" t="s">
        <v>476</v>
      </c>
      <c r="K150" s="7">
        <v>8</v>
      </c>
    </row>
    <row r="151" spans="1:11" s="2" customFormat="1" x14ac:dyDescent="0.2">
      <c r="A151" s="9">
        <v>11500008</v>
      </c>
      <c r="B151" s="4" t="s">
        <v>172</v>
      </c>
      <c r="C151" s="4" t="s">
        <v>16</v>
      </c>
      <c r="D151" s="5">
        <v>0</v>
      </c>
      <c r="E151" s="26"/>
      <c r="F151" s="26"/>
      <c r="G151" s="26"/>
      <c r="H151" s="26"/>
      <c r="I151" s="6">
        <v>204</v>
      </c>
      <c r="J151" s="7" t="s">
        <v>471</v>
      </c>
      <c r="K151" s="7">
        <v>4</v>
      </c>
    </row>
    <row r="152" spans="1:11" s="2" customFormat="1" x14ac:dyDescent="0.2">
      <c r="A152" s="9">
        <v>12100038</v>
      </c>
      <c r="B152" s="4" t="s">
        <v>173</v>
      </c>
      <c r="C152" s="4" t="s">
        <v>20</v>
      </c>
      <c r="D152" s="5">
        <v>36</v>
      </c>
      <c r="E152" s="26"/>
      <c r="F152" s="26"/>
      <c r="G152" s="26"/>
      <c r="H152" s="26"/>
      <c r="I152" s="6">
        <v>200</v>
      </c>
      <c r="J152" s="7" t="s">
        <v>475</v>
      </c>
      <c r="K152" s="7"/>
    </row>
    <row r="153" spans="1:11" s="2" customFormat="1" x14ac:dyDescent="0.2">
      <c r="A153" s="9">
        <v>12100031</v>
      </c>
      <c r="B153" s="4" t="s">
        <v>174</v>
      </c>
      <c r="C153" s="4" t="s">
        <v>20</v>
      </c>
      <c r="D153" s="5">
        <v>0</v>
      </c>
      <c r="E153" s="26"/>
      <c r="F153" s="26"/>
      <c r="G153" s="26"/>
      <c r="H153" s="26"/>
      <c r="I153" s="6">
        <v>200</v>
      </c>
      <c r="J153" s="7" t="s">
        <v>475</v>
      </c>
      <c r="K153" s="7"/>
    </row>
    <row r="154" spans="1:11" s="2" customFormat="1" x14ac:dyDescent="0.2">
      <c r="A154" s="9">
        <v>12100020</v>
      </c>
      <c r="B154" s="4" t="s">
        <v>175</v>
      </c>
      <c r="C154" s="4" t="s">
        <v>148</v>
      </c>
      <c r="D154" s="5">
        <v>0</v>
      </c>
      <c r="E154" s="26"/>
      <c r="F154" s="26"/>
      <c r="G154" s="26"/>
      <c r="H154" s="26"/>
      <c r="I154" s="6">
        <v>1200</v>
      </c>
      <c r="J154" s="7" t="s">
        <v>475</v>
      </c>
      <c r="K154" s="7"/>
    </row>
    <row r="155" spans="1:11" s="2" customFormat="1" x14ac:dyDescent="0.2">
      <c r="A155" s="9">
        <v>13600120</v>
      </c>
      <c r="B155" s="4" t="s">
        <v>176</v>
      </c>
      <c r="C155" s="4" t="s">
        <v>20</v>
      </c>
      <c r="D155" s="5">
        <v>0</v>
      </c>
      <c r="E155" s="26"/>
      <c r="F155" s="26"/>
      <c r="G155" s="26"/>
      <c r="H155" s="26"/>
      <c r="I155" s="6">
        <v>193</v>
      </c>
      <c r="J155" s="7" t="s">
        <v>475</v>
      </c>
      <c r="K155" s="7"/>
    </row>
    <row r="156" spans="1:11" s="2" customFormat="1" x14ac:dyDescent="0.2">
      <c r="A156" s="9">
        <v>11100023</v>
      </c>
      <c r="B156" s="4" t="s">
        <v>177</v>
      </c>
      <c r="C156" s="4" t="s">
        <v>42</v>
      </c>
      <c r="D156" s="5">
        <v>14</v>
      </c>
      <c r="E156" s="26">
        <v>7</v>
      </c>
      <c r="F156" s="26">
        <f>ROUND(E156/2, 0)</f>
        <v>4</v>
      </c>
      <c r="G156" s="26">
        <f>E156-F156</f>
        <v>3</v>
      </c>
      <c r="H156" s="26" t="str">
        <f>IF(G156&lt;=0,"To Order", "Ok")</f>
        <v>Ok</v>
      </c>
      <c r="I156" s="6">
        <v>150</v>
      </c>
      <c r="J156" s="7" t="s">
        <v>476</v>
      </c>
      <c r="K156" s="7">
        <v>2</v>
      </c>
    </row>
    <row r="157" spans="1:11" s="2" customFormat="1" x14ac:dyDescent="0.2">
      <c r="A157" s="9">
        <v>11800001</v>
      </c>
      <c r="B157" s="4" t="s">
        <v>178</v>
      </c>
      <c r="C157" s="4" t="s">
        <v>179</v>
      </c>
      <c r="D157" s="5">
        <v>4</v>
      </c>
      <c r="E157" s="26">
        <v>7</v>
      </c>
      <c r="F157" s="26">
        <f>ROUND(E157/2, 0)</f>
        <v>4</v>
      </c>
      <c r="G157" s="26">
        <f>E157-F157</f>
        <v>3</v>
      </c>
      <c r="H157" s="26" t="str">
        <f>IF(G157&lt;=0,"To Order", "Ok")</f>
        <v>Ok</v>
      </c>
      <c r="I157" s="6">
        <v>331</v>
      </c>
      <c r="J157" s="7" t="s">
        <v>476</v>
      </c>
      <c r="K157" s="7">
        <v>3</v>
      </c>
    </row>
    <row r="158" spans="1:11" s="2" customFormat="1" x14ac:dyDescent="0.2">
      <c r="A158" s="9">
        <v>10000001</v>
      </c>
      <c r="B158" s="4" t="s">
        <v>180</v>
      </c>
      <c r="C158" s="4" t="s">
        <v>16</v>
      </c>
      <c r="D158" s="5">
        <v>0</v>
      </c>
      <c r="E158" s="26"/>
      <c r="F158" s="26"/>
      <c r="G158" s="26"/>
      <c r="H158" s="26"/>
      <c r="I158" s="6">
        <v>23</v>
      </c>
      <c r="J158" s="7" t="s">
        <v>471</v>
      </c>
      <c r="K158" s="7"/>
    </row>
    <row r="159" spans="1:11" s="2" customFormat="1" x14ac:dyDescent="0.2">
      <c r="A159" s="9">
        <v>10100001</v>
      </c>
      <c r="B159" s="4" t="s">
        <v>181</v>
      </c>
      <c r="C159" s="4" t="s">
        <v>16</v>
      </c>
      <c r="D159" s="5">
        <v>0</v>
      </c>
      <c r="E159" s="26"/>
      <c r="F159" s="26"/>
      <c r="G159" s="26"/>
      <c r="H159" s="26"/>
      <c r="I159" s="6">
        <v>20</v>
      </c>
      <c r="J159" s="7" t="s">
        <v>471</v>
      </c>
      <c r="K159" s="7"/>
    </row>
    <row r="160" spans="1:11" s="2" customFormat="1" x14ac:dyDescent="0.2">
      <c r="A160" s="9">
        <v>10100003</v>
      </c>
      <c r="B160" s="4" t="s">
        <v>182</v>
      </c>
      <c r="C160" s="4" t="s">
        <v>16</v>
      </c>
      <c r="D160" s="5">
        <v>0</v>
      </c>
      <c r="E160" s="26"/>
      <c r="F160" s="26"/>
      <c r="G160" s="26"/>
      <c r="H160" s="26"/>
      <c r="I160" s="6">
        <v>10</v>
      </c>
      <c r="J160" s="7" t="s">
        <v>471</v>
      </c>
      <c r="K160" s="7"/>
    </row>
    <row r="161" spans="1:11" s="2" customFormat="1" x14ac:dyDescent="0.2">
      <c r="A161" s="9">
        <v>10100002</v>
      </c>
      <c r="B161" s="4" t="s">
        <v>183</v>
      </c>
      <c r="C161" s="4" t="s">
        <v>79</v>
      </c>
      <c r="D161" s="5">
        <v>0</v>
      </c>
      <c r="E161" s="26"/>
      <c r="F161" s="26"/>
      <c r="G161" s="26"/>
      <c r="H161" s="26"/>
      <c r="I161" s="6">
        <v>5</v>
      </c>
      <c r="J161" s="7" t="s">
        <v>471</v>
      </c>
      <c r="K161" s="7"/>
    </row>
    <row r="162" spans="1:11" s="2" customFormat="1" x14ac:dyDescent="0.2">
      <c r="A162" s="9">
        <v>11400003</v>
      </c>
      <c r="B162" s="4" t="s">
        <v>184</v>
      </c>
      <c r="C162" s="4" t="s">
        <v>14</v>
      </c>
      <c r="D162" s="5">
        <v>24</v>
      </c>
      <c r="E162" s="26">
        <v>24</v>
      </c>
      <c r="F162" s="26">
        <f>ROUND(E162/2, 0)</f>
        <v>12</v>
      </c>
      <c r="G162" s="26">
        <f>E162-F162</f>
        <v>12</v>
      </c>
      <c r="H162" s="26" t="str">
        <f>IF(G162&lt;=0,"To Order", "Ok")</f>
        <v>Ok</v>
      </c>
      <c r="I162" s="6">
        <v>533</v>
      </c>
      <c r="J162" s="7" t="s">
        <v>476</v>
      </c>
      <c r="K162" s="7">
        <v>10</v>
      </c>
    </row>
    <row r="163" spans="1:11" s="2" customFormat="1" x14ac:dyDescent="0.2">
      <c r="A163" s="9">
        <v>11100024</v>
      </c>
      <c r="B163" s="4" t="s">
        <v>185</v>
      </c>
      <c r="C163" s="4" t="s">
        <v>42</v>
      </c>
      <c r="D163" s="5">
        <v>2</v>
      </c>
      <c r="E163" s="26">
        <v>1</v>
      </c>
      <c r="F163" s="26">
        <f>ROUND(E163/2, 0)</f>
        <v>1</v>
      </c>
      <c r="G163" s="26">
        <f>E163-F163</f>
        <v>0</v>
      </c>
      <c r="H163" s="26" t="str">
        <f>IF(G163&lt;=0,"To Order", "Ok")</f>
        <v>To Order</v>
      </c>
      <c r="I163" s="6">
        <v>310</v>
      </c>
      <c r="J163" s="7" t="s">
        <v>476</v>
      </c>
      <c r="K163" s="7">
        <v>1</v>
      </c>
    </row>
    <row r="164" spans="1:11" s="2" customFormat="1" x14ac:dyDescent="0.2">
      <c r="A164" s="9">
        <v>12300008</v>
      </c>
      <c r="B164" s="4" t="s">
        <v>186</v>
      </c>
      <c r="C164" s="4" t="s">
        <v>187</v>
      </c>
      <c r="D164" s="5">
        <v>12</v>
      </c>
      <c r="E164" s="26">
        <v>6</v>
      </c>
      <c r="F164" s="26">
        <f>ROUND(E164/2, 0)</f>
        <v>3</v>
      </c>
      <c r="G164" s="26">
        <f>E164-F164</f>
        <v>3</v>
      </c>
      <c r="H164" s="26" t="str">
        <f>IF(G164&lt;=0,"To Order", "Ok")</f>
        <v>Ok</v>
      </c>
      <c r="I164" s="6">
        <v>399</v>
      </c>
      <c r="J164" s="7" t="s">
        <v>476</v>
      </c>
      <c r="K164" s="7">
        <v>3</v>
      </c>
    </row>
    <row r="165" spans="1:11" s="2" customFormat="1" x14ac:dyDescent="0.2">
      <c r="A165" s="9">
        <v>10800056</v>
      </c>
      <c r="B165" s="4" t="s">
        <v>188</v>
      </c>
      <c r="C165" s="4" t="s">
        <v>14</v>
      </c>
      <c r="D165" s="5">
        <v>8</v>
      </c>
      <c r="E165" s="26">
        <v>2</v>
      </c>
      <c r="F165" s="26">
        <f>ROUND(E165/2, 0)</f>
        <v>1</v>
      </c>
      <c r="G165" s="26">
        <f>E165-F165</f>
        <v>1</v>
      </c>
      <c r="H165" s="26" t="str">
        <f>IF(G165&lt;=0,"To Order", "Ok")</f>
        <v>Ok</v>
      </c>
      <c r="I165" s="6">
        <v>380</v>
      </c>
      <c r="J165" s="7" t="s">
        <v>476</v>
      </c>
      <c r="K165" s="7">
        <v>1</v>
      </c>
    </row>
    <row r="166" spans="1:11" s="2" customFormat="1" x14ac:dyDescent="0.2">
      <c r="A166" s="9">
        <v>10100066</v>
      </c>
      <c r="B166" s="4" t="s">
        <v>189</v>
      </c>
      <c r="C166" s="4" t="s">
        <v>16</v>
      </c>
      <c r="D166" s="5">
        <v>0</v>
      </c>
      <c r="E166" s="26"/>
      <c r="F166" s="26"/>
      <c r="G166" s="26"/>
      <c r="H166" s="26"/>
      <c r="I166" s="6">
        <v>80</v>
      </c>
      <c r="J166" s="7" t="s">
        <v>471</v>
      </c>
      <c r="K166" s="7"/>
    </row>
    <row r="167" spans="1:11" s="2" customFormat="1" x14ac:dyDescent="0.2">
      <c r="A167" s="9">
        <v>10500001</v>
      </c>
      <c r="B167" s="4" t="s">
        <v>190</v>
      </c>
      <c r="C167" s="4" t="s">
        <v>191</v>
      </c>
      <c r="D167" s="5">
        <v>28</v>
      </c>
      <c r="E167" s="26"/>
      <c r="F167" s="26">
        <f t="shared" ref="F167:F172" si="18">ROUND(E167/2, 0)</f>
        <v>0</v>
      </c>
      <c r="G167" s="26">
        <f t="shared" ref="G167:G172" si="19">E167-F167</f>
        <v>0</v>
      </c>
      <c r="H167" s="26" t="str">
        <f t="shared" ref="H167:H172" si="20">IF(G167&lt;=0,"To Order", "Ok")</f>
        <v>To Order</v>
      </c>
      <c r="I167" s="6">
        <v>450</v>
      </c>
      <c r="J167" s="32" t="s">
        <v>476</v>
      </c>
      <c r="K167" s="7"/>
    </row>
    <row r="168" spans="1:11" s="2" customFormat="1" x14ac:dyDescent="0.2">
      <c r="A168" s="9">
        <v>12300006</v>
      </c>
      <c r="B168" s="4" t="s">
        <v>192</v>
      </c>
      <c r="C168" s="4" t="s">
        <v>12</v>
      </c>
      <c r="D168" s="5">
        <v>3</v>
      </c>
      <c r="E168" s="26"/>
      <c r="F168" s="26">
        <f t="shared" si="18"/>
        <v>0</v>
      </c>
      <c r="G168" s="26">
        <f t="shared" si="19"/>
        <v>0</v>
      </c>
      <c r="H168" s="26" t="str">
        <f t="shared" si="20"/>
        <v>To Order</v>
      </c>
      <c r="I168" s="6">
        <v>210</v>
      </c>
      <c r="J168" s="7" t="s">
        <v>476</v>
      </c>
      <c r="K168" s="7"/>
    </row>
    <row r="169" spans="1:11" s="2" customFormat="1" x14ac:dyDescent="0.2">
      <c r="A169" s="9">
        <v>10300030</v>
      </c>
      <c r="B169" s="4" t="s">
        <v>193</v>
      </c>
      <c r="C169" s="4" t="s">
        <v>16</v>
      </c>
      <c r="D169" s="5">
        <v>0</v>
      </c>
      <c r="E169" s="26"/>
      <c r="F169" s="26">
        <f t="shared" si="18"/>
        <v>0</v>
      </c>
      <c r="G169" s="26">
        <f t="shared" si="19"/>
        <v>0</v>
      </c>
      <c r="H169" s="26" t="str">
        <f t="shared" si="20"/>
        <v>To Order</v>
      </c>
      <c r="I169" s="6">
        <v>1120.69</v>
      </c>
      <c r="J169" s="7" t="s">
        <v>476</v>
      </c>
      <c r="K169" s="7"/>
    </row>
    <row r="170" spans="1:11" s="2" customFormat="1" x14ac:dyDescent="0.2">
      <c r="A170" s="9">
        <v>11100158</v>
      </c>
      <c r="B170" s="4" t="s">
        <v>194</v>
      </c>
      <c r="C170" s="4" t="s">
        <v>16</v>
      </c>
      <c r="D170" s="5">
        <v>8</v>
      </c>
      <c r="E170" s="26">
        <v>11</v>
      </c>
      <c r="F170" s="26">
        <f t="shared" si="18"/>
        <v>6</v>
      </c>
      <c r="G170" s="26">
        <f t="shared" si="19"/>
        <v>5</v>
      </c>
      <c r="H170" s="26" t="str">
        <f t="shared" si="20"/>
        <v>Ok</v>
      </c>
      <c r="I170" s="6">
        <v>16</v>
      </c>
      <c r="J170" s="7" t="s">
        <v>476</v>
      </c>
      <c r="K170" s="7">
        <v>2</v>
      </c>
    </row>
    <row r="171" spans="1:11" s="2" customFormat="1" x14ac:dyDescent="0.2">
      <c r="A171" s="9">
        <v>11100162</v>
      </c>
      <c r="B171" s="4" t="s">
        <v>195</v>
      </c>
      <c r="C171" s="4" t="s">
        <v>14</v>
      </c>
      <c r="D171" s="5">
        <v>13</v>
      </c>
      <c r="E171" s="26">
        <v>12</v>
      </c>
      <c r="F171" s="26">
        <f t="shared" si="18"/>
        <v>6</v>
      </c>
      <c r="G171" s="26">
        <f t="shared" si="19"/>
        <v>6</v>
      </c>
      <c r="H171" s="26" t="str">
        <f t="shared" si="20"/>
        <v>Ok</v>
      </c>
      <c r="I171" s="6">
        <v>16</v>
      </c>
      <c r="J171" s="7" t="s">
        <v>476</v>
      </c>
      <c r="K171" s="7">
        <v>2</v>
      </c>
    </row>
    <row r="172" spans="1:11" s="2" customFormat="1" x14ac:dyDescent="0.2">
      <c r="A172" s="9">
        <v>11100156</v>
      </c>
      <c r="B172" s="4" t="s">
        <v>196</v>
      </c>
      <c r="C172" s="4" t="s">
        <v>16</v>
      </c>
      <c r="D172" s="5">
        <v>8</v>
      </c>
      <c r="E172" s="26">
        <v>8</v>
      </c>
      <c r="F172" s="26">
        <f t="shared" si="18"/>
        <v>4</v>
      </c>
      <c r="G172" s="26">
        <f t="shared" si="19"/>
        <v>4</v>
      </c>
      <c r="H172" s="26" t="str">
        <f t="shared" si="20"/>
        <v>Ok</v>
      </c>
      <c r="I172" s="6">
        <v>16</v>
      </c>
      <c r="J172" s="7" t="s">
        <v>476</v>
      </c>
      <c r="K172" s="7">
        <v>2</v>
      </c>
    </row>
    <row r="173" spans="1:11" s="2" customFormat="1" x14ac:dyDescent="0.2">
      <c r="A173" s="9">
        <v>10600023</v>
      </c>
      <c r="B173" s="4" t="s">
        <v>197</v>
      </c>
      <c r="C173" s="4" t="s">
        <v>16</v>
      </c>
      <c r="D173" s="5">
        <v>0</v>
      </c>
      <c r="E173" s="26"/>
      <c r="F173" s="26"/>
      <c r="G173" s="26"/>
      <c r="H173" s="26"/>
      <c r="I173" s="6">
        <v>991.38</v>
      </c>
      <c r="J173" s="7" t="s">
        <v>472</v>
      </c>
      <c r="K173" s="7"/>
    </row>
    <row r="174" spans="1:11" s="2" customFormat="1" x14ac:dyDescent="0.2">
      <c r="A174" s="9">
        <v>10800014</v>
      </c>
      <c r="B174" s="4" t="s">
        <v>198</v>
      </c>
      <c r="C174" s="4" t="s">
        <v>199</v>
      </c>
      <c r="D174" s="5">
        <v>0</v>
      </c>
      <c r="E174" s="26"/>
      <c r="F174" s="26"/>
      <c r="G174" s="26"/>
      <c r="H174" s="26"/>
      <c r="I174" s="6">
        <v>1.292</v>
      </c>
      <c r="J174" s="7" t="s">
        <v>471</v>
      </c>
      <c r="K174" s="7"/>
    </row>
    <row r="175" spans="1:11" s="2" customFormat="1" x14ac:dyDescent="0.2">
      <c r="A175" s="9">
        <v>10600035</v>
      </c>
      <c r="B175" s="4" t="s">
        <v>200</v>
      </c>
      <c r="C175" s="4" t="s">
        <v>14</v>
      </c>
      <c r="D175" s="5">
        <v>0</v>
      </c>
      <c r="E175" s="26"/>
      <c r="F175" s="26"/>
      <c r="G175" s="26"/>
      <c r="H175" s="26"/>
      <c r="I175" s="6">
        <v>42</v>
      </c>
      <c r="J175" s="7" t="s">
        <v>471</v>
      </c>
      <c r="K175" s="7"/>
    </row>
    <row r="176" spans="1:11" s="2" customFormat="1" x14ac:dyDescent="0.2">
      <c r="A176" s="9">
        <v>15000060</v>
      </c>
      <c r="B176" s="4" t="s">
        <v>201</v>
      </c>
      <c r="C176" s="4" t="s">
        <v>14</v>
      </c>
      <c r="D176" s="5">
        <v>0</v>
      </c>
      <c r="E176" s="26"/>
      <c r="F176" s="26"/>
      <c r="G176" s="26"/>
      <c r="H176" s="26"/>
      <c r="I176" s="6">
        <v>3000</v>
      </c>
      <c r="J176" s="7" t="s">
        <v>471</v>
      </c>
      <c r="K176" s="7"/>
    </row>
    <row r="177" spans="1:11" s="2" customFormat="1" x14ac:dyDescent="0.2">
      <c r="A177" s="9">
        <v>11100140</v>
      </c>
      <c r="B177" s="4" t="s">
        <v>202</v>
      </c>
      <c r="C177" s="4" t="s">
        <v>199</v>
      </c>
      <c r="D177" s="5">
        <v>2500</v>
      </c>
      <c r="E177" s="26"/>
      <c r="F177" s="26">
        <f t="shared" ref="F177:F183" si="21">ROUND(E177/2, 0)</f>
        <v>0</v>
      </c>
      <c r="G177" s="26">
        <f t="shared" ref="G177:G183" si="22">E177-F177</f>
        <v>0</v>
      </c>
      <c r="H177" s="26" t="str">
        <f t="shared" ref="H177:H183" si="23">IF(G177&lt;=0,"To Order", "Ok")</f>
        <v>To Order</v>
      </c>
      <c r="I177" s="6">
        <v>1.6E-2</v>
      </c>
      <c r="J177" s="7" t="s">
        <v>476</v>
      </c>
      <c r="K177" s="7"/>
    </row>
    <row r="178" spans="1:11" s="2" customFormat="1" x14ac:dyDescent="0.2">
      <c r="A178" s="9">
        <v>11100205</v>
      </c>
      <c r="B178" s="4" t="s">
        <v>203</v>
      </c>
      <c r="C178" s="4" t="s">
        <v>14</v>
      </c>
      <c r="D178" s="5">
        <v>0</v>
      </c>
      <c r="E178" s="26">
        <v>4</v>
      </c>
      <c r="F178" s="26">
        <f t="shared" si="21"/>
        <v>2</v>
      </c>
      <c r="G178" s="26">
        <f t="shared" si="22"/>
        <v>2</v>
      </c>
      <c r="H178" s="26" t="str">
        <f t="shared" si="23"/>
        <v>Ok</v>
      </c>
      <c r="I178" s="6">
        <v>1034.4827600000001</v>
      </c>
      <c r="J178" s="7" t="s">
        <v>476</v>
      </c>
      <c r="K178" s="7"/>
    </row>
    <row r="179" spans="1:11" s="2" customFormat="1" x14ac:dyDescent="0.2">
      <c r="A179" s="9">
        <v>11100207</v>
      </c>
      <c r="B179" s="4" t="s">
        <v>204</v>
      </c>
      <c r="C179" s="4" t="s">
        <v>14</v>
      </c>
      <c r="D179" s="5">
        <v>0</v>
      </c>
      <c r="E179" s="26">
        <v>2</v>
      </c>
      <c r="F179" s="26">
        <f t="shared" si="21"/>
        <v>1</v>
      </c>
      <c r="G179" s="26">
        <f t="shared" si="22"/>
        <v>1</v>
      </c>
      <c r="H179" s="26" t="str">
        <f t="shared" si="23"/>
        <v>Ok</v>
      </c>
      <c r="I179" s="6">
        <v>862.06897000000004</v>
      </c>
      <c r="J179" s="7" t="s">
        <v>476</v>
      </c>
      <c r="K179" s="7">
        <v>1</v>
      </c>
    </row>
    <row r="180" spans="1:11" s="2" customFormat="1" x14ac:dyDescent="0.2">
      <c r="A180" s="9">
        <v>10100074</v>
      </c>
      <c r="B180" s="4" t="s">
        <v>205</v>
      </c>
      <c r="C180" s="4" t="s">
        <v>16</v>
      </c>
      <c r="D180" s="5">
        <v>0</v>
      </c>
      <c r="E180" s="26">
        <v>6</v>
      </c>
      <c r="F180" s="26">
        <f t="shared" si="21"/>
        <v>3</v>
      </c>
      <c r="G180" s="26">
        <f t="shared" si="22"/>
        <v>3</v>
      </c>
      <c r="H180" s="26" t="str">
        <f t="shared" si="23"/>
        <v>Ok</v>
      </c>
      <c r="I180" s="6">
        <v>65</v>
      </c>
      <c r="J180" s="7" t="s">
        <v>476</v>
      </c>
      <c r="K180" s="7">
        <v>2</v>
      </c>
    </row>
    <row r="181" spans="1:11" s="2" customFormat="1" x14ac:dyDescent="0.2">
      <c r="A181" s="9">
        <v>10600024</v>
      </c>
      <c r="B181" s="4" t="s">
        <v>206</v>
      </c>
      <c r="C181" s="4" t="s">
        <v>20</v>
      </c>
      <c r="D181" s="5">
        <v>0</v>
      </c>
      <c r="E181" s="26"/>
      <c r="F181" s="26">
        <f t="shared" si="21"/>
        <v>0</v>
      </c>
      <c r="G181" s="26">
        <f t="shared" si="22"/>
        <v>0</v>
      </c>
      <c r="H181" s="26" t="str">
        <f t="shared" si="23"/>
        <v>To Order</v>
      </c>
      <c r="I181" s="6">
        <v>85</v>
      </c>
      <c r="J181" s="7" t="s">
        <v>476</v>
      </c>
      <c r="K181" s="7"/>
    </row>
    <row r="182" spans="1:11" s="2" customFormat="1" x14ac:dyDescent="0.2">
      <c r="A182" s="9">
        <v>11800016</v>
      </c>
      <c r="B182" s="4" t="s">
        <v>207</v>
      </c>
      <c r="C182" s="4" t="s">
        <v>12</v>
      </c>
      <c r="D182" s="5">
        <v>9.6</v>
      </c>
      <c r="E182" s="26">
        <v>22</v>
      </c>
      <c r="F182" s="26">
        <f t="shared" si="21"/>
        <v>11</v>
      </c>
      <c r="G182" s="26">
        <f t="shared" si="22"/>
        <v>11</v>
      </c>
      <c r="H182" s="26" t="str">
        <f t="shared" si="23"/>
        <v>Ok</v>
      </c>
      <c r="I182" s="6">
        <v>272.5</v>
      </c>
      <c r="J182" s="7" t="s">
        <v>476</v>
      </c>
      <c r="K182" s="7">
        <v>10</v>
      </c>
    </row>
    <row r="183" spans="1:11" s="2" customFormat="1" x14ac:dyDescent="0.2">
      <c r="A183" s="9">
        <v>11100026</v>
      </c>
      <c r="B183" s="4" t="s">
        <v>208</v>
      </c>
      <c r="C183" s="4" t="s">
        <v>42</v>
      </c>
      <c r="D183" s="5">
        <v>0</v>
      </c>
      <c r="E183" s="26">
        <v>4</v>
      </c>
      <c r="F183" s="26">
        <f t="shared" si="21"/>
        <v>2</v>
      </c>
      <c r="G183" s="26">
        <f t="shared" si="22"/>
        <v>2</v>
      </c>
      <c r="H183" s="26" t="str">
        <f t="shared" si="23"/>
        <v>Ok</v>
      </c>
      <c r="I183" s="6">
        <v>143.5</v>
      </c>
      <c r="J183" s="7" t="s">
        <v>476</v>
      </c>
      <c r="K183" s="7">
        <v>1</v>
      </c>
    </row>
    <row r="184" spans="1:11" s="2" customFormat="1" x14ac:dyDescent="0.2">
      <c r="A184" s="9">
        <v>10100024</v>
      </c>
      <c r="B184" s="4" t="s">
        <v>209</v>
      </c>
      <c r="C184" s="4" t="s">
        <v>16</v>
      </c>
      <c r="D184" s="5">
        <v>0</v>
      </c>
      <c r="E184" s="26"/>
      <c r="F184" s="26"/>
      <c r="G184" s="26"/>
      <c r="H184" s="26"/>
      <c r="I184" s="6">
        <v>250</v>
      </c>
      <c r="J184" s="7" t="s">
        <v>471</v>
      </c>
      <c r="K184" s="7"/>
    </row>
    <row r="185" spans="1:11" s="2" customFormat="1" x14ac:dyDescent="0.2">
      <c r="A185" s="9">
        <v>10100025</v>
      </c>
      <c r="B185" s="4" t="s">
        <v>210</v>
      </c>
      <c r="C185" s="4" t="s">
        <v>16</v>
      </c>
      <c r="D185" s="5">
        <v>0</v>
      </c>
      <c r="E185" s="26"/>
      <c r="F185" s="26"/>
      <c r="G185" s="26"/>
      <c r="H185" s="26"/>
      <c r="I185" s="6">
        <v>300</v>
      </c>
      <c r="J185" s="7" t="s">
        <v>471</v>
      </c>
      <c r="K185" s="7"/>
    </row>
    <row r="186" spans="1:11" s="2" customFormat="1" x14ac:dyDescent="0.2">
      <c r="A186" s="9">
        <v>10100122</v>
      </c>
      <c r="B186" s="4" t="s">
        <v>211</v>
      </c>
      <c r="C186" s="4" t="s">
        <v>16</v>
      </c>
      <c r="D186" s="5">
        <v>0</v>
      </c>
      <c r="E186" s="26"/>
      <c r="F186" s="26"/>
      <c r="G186" s="26"/>
      <c r="H186" s="26"/>
      <c r="I186" s="6">
        <v>333</v>
      </c>
      <c r="J186" s="7" t="s">
        <v>471</v>
      </c>
      <c r="K186" s="7"/>
    </row>
    <row r="187" spans="1:11" s="2" customFormat="1" x14ac:dyDescent="0.2">
      <c r="A187" s="9">
        <v>11100027</v>
      </c>
      <c r="B187" s="4" t="s">
        <v>212</v>
      </c>
      <c r="C187" s="4" t="s">
        <v>42</v>
      </c>
      <c r="D187" s="5">
        <v>10</v>
      </c>
      <c r="E187" s="26">
        <v>5</v>
      </c>
      <c r="F187" s="26">
        <f>ROUND(E187/2, 0)</f>
        <v>3</v>
      </c>
      <c r="G187" s="26">
        <f>E187-F187</f>
        <v>2</v>
      </c>
      <c r="H187" s="26" t="str">
        <f>IF(G187&lt;=0,"To Order", "Ok")</f>
        <v>Ok</v>
      </c>
      <c r="I187" s="6">
        <v>195</v>
      </c>
      <c r="J187" s="7" t="s">
        <v>476</v>
      </c>
      <c r="K187" s="7">
        <v>1</v>
      </c>
    </row>
    <row r="188" spans="1:11" s="2" customFormat="1" x14ac:dyDescent="0.2">
      <c r="A188" s="9">
        <v>11100028</v>
      </c>
      <c r="B188" s="4" t="s">
        <v>213</v>
      </c>
      <c r="C188" s="4" t="s">
        <v>42</v>
      </c>
      <c r="D188" s="5">
        <v>16</v>
      </c>
      <c r="E188" s="26">
        <v>8</v>
      </c>
      <c r="F188" s="26">
        <f>ROUND(E188/2, 0)</f>
        <v>4</v>
      </c>
      <c r="G188" s="26">
        <f>E188-F188</f>
        <v>4</v>
      </c>
      <c r="H188" s="26" t="str">
        <f>IF(G188&lt;=0,"To Order", "Ok")</f>
        <v>Ok</v>
      </c>
      <c r="I188" s="6">
        <v>350</v>
      </c>
      <c r="J188" s="7" t="s">
        <v>476</v>
      </c>
      <c r="K188" s="7">
        <v>1</v>
      </c>
    </row>
    <row r="189" spans="1:11" s="2" customFormat="1" x14ac:dyDescent="0.2">
      <c r="A189" s="9">
        <v>10600025</v>
      </c>
      <c r="B189" s="4" t="s">
        <v>214</v>
      </c>
      <c r="C189" s="4" t="s">
        <v>98</v>
      </c>
      <c r="D189" s="5">
        <v>3</v>
      </c>
      <c r="E189" s="26">
        <v>2</v>
      </c>
      <c r="F189" s="26">
        <f>ROUND(E189/2, 0)</f>
        <v>1</v>
      </c>
      <c r="G189" s="26">
        <f>E189-F189</f>
        <v>1</v>
      </c>
      <c r="H189" s="26" t="str">
        <f>IF(G189&lt;=0,"To Order", "Ok")</f>
        <v>Ok</v>
      </c>
      <c r="I189" s="6">
        <v>940</v>
      </c>
      <c r="J189" s="7" t="s">
        <v>476</v>
      </c>
      <c r="K189" s="7">
        <v>1</v>
      </c>
    </row>
    <row r="190" spans="1:11" s="2" customFormat="1" x14ac:dyDescent="0.2">
      <c r="A190" s="9">
        <v>11100029</v>
      </c>
      <c r="B190" s="4" t="s">
        <v>215</v>
      </c>
      <c r="C190" s="4" t="s">
        <v>16</v>
      </c>
      <c r="D190" s="5">
        <v>5</v>
      </c>
      <c r="E190" s="26">
        <v>4</v>
      </c>
      <c r="F190" s="26">
        <f>ROUND(E190/2, 0)</f>
        <v>2</v>
      </c>
      <c r="G190" s="26">
        <f>E190-F190</f>
        <v>2</v>
      </c>
      <c r="H190" s="26" t="str">
        <f>IF(G190&lt;=0,"To Order", "Ok")</f>
        <v>Ok</v>
      </c>
      <c r="I190" s="6">
        <v>240</v>
      </c>
      <c r="J190" s="7" t="s">
        <v>476</v>
      </c>
      <c r="K190" s="7">
        <v>2</v>
      </c>
    </row>
    <row r="191" spans="1:11" s="2" customFormat="1" x14ac:dyDescent="0.2">
      <c r="A191" s="9">
        <v>10100026</v>
      </c>
      <c r="B191" s="4" t="s">
        <v>216</v>
      </c>
      <c r="C191" s="4" t="s">
        <v>16</v>
      </c>
      <c r="D191" s="5">
        <v>0</v>
      </c>
      <c r="E191" s="26"/>
      <c r="F191" s="26"/>
      <c r="G191" s="26"/>
      <c r="H191" s="26"/>
      <c r="I191" s="6">
        <v>150</v>
      </c>
      <c r="J191" s="7" t="s">
        <v>471</v>
      </c>
      <c r="K191" s="7"/>
    </row>
    <row r="192" spans="1:11" s="2" customFormat="1" x14ac:dyDescent="0.2">
      <c r="A192" s="9">
        <v>11100132</v>
      </c>
      <c r="B192" s="4" t="s">
        <v>217</v>
      </c>
      <c r="C192" s="4" t="s">
        <v>42</v>
      </c>
      <c r="D192" s="5">
        <v>1</v>
      </c>
      <c r="E192" s="26">
        <v>1</v>
      </c>
      <c r="F192" s="26">
        <f>ROUND(E192/2, 0)</f>
        <v>1</v>
      </c>
      <c r="G192" s="26">
        <f>E192-F192</f>
        <v>0</v>
      </c>
      <c r="H192" s="26" t="str">
        <f>IF(G192&lt;=0,"To Order", "Ok")</f>
        <v>To Order</v>
      </c>
      <c r="I192" s="6">
        <v>117.5</v>
      </c>
      <c r="J192" s="7" t="s">
        <v>476</v>
      </c>
      <c r="K192" s="7">
        <v>1</v>
      </c>
    </row>
    <row r="193" spans="1:11" s="2" customFormat="1" x14ac:dyDescent="0.2">
      <c r="A193" s="9">
        <v>12000005</v>
      </c>
      <c r="B193" s="4" t="s">
        <v>218</v>
      </c>
      <c r="C193" s="4" t="s">
        <v>14</v>
      </c>
      <c r="D193" s="5">
        <v>9</v>
      </c>
      <c r="E193" s="26">
        <v>9</v>
      </c>
      <c r="F193" s="26">
        <f>ROUND(E193/2, 0)</f>
        <v>5</v>
      </c>
      <c r="G193" s="26">
        <f>E193-F193</f>
        <v>4</v>
      </c>
      <c r="H193" s="26" t="str">
        <f>IF(G193&lt;=0,"To Order", "Ok")</f>
        <v>Ok</v>
      </c>
      <c r="I193" s="6">
        <v>105</v>
      </c>
      <c r="J193" s="7" t="s">
        <v>476</v>
      </c>
      <c r="K193" s="7">
        <v>4</v>
      </c>
    </row>
    <row r="194" spans="1:11" s="2" customFormat="1" x14ac:dyDescent="0.2">
      <c r="A194" s="9">
        <v>13000010</v>
      </c>
      <c r="B194" s="4" t="s">
        <v>219</v>
      </c>
      <c r="C194" s="4" t="s">
        <v>16</v>
      </c>
      <c r="D194" s="5">
        <v>15.7</v>
      </c>
      <c r="E194" s="26"/>
      <c r="F194" s="26"/>
      <c r="G194" s="26"/>
      <c r="H194" s="26"/>
      <c r="I194" s="6">
        <v>850</v>
      </c>
      <c r="J194" s="7" t="s">
        <v>472</v>
      </c>
      <c r="K194" s="7"/>
    </row>
    <row r="195" spans="1:11" s="2" customFormat="1" x14ac:dyDescent="0.2">
      <c r="A195" s="9">
        <v>13000004</v>
      </c>
      <c r="B195" s="4" t="s">
        <v>220</v>
      </c>
      <c r="C195" s="4" t="s">
        <v>16</v>
      </c>
      <c r="D195" s="5">
        <v>36.799999999999997</v>
      </c>
      <c r="E195" s="26"/>
      <c r="F195" s="26"/>
      <c r="G195" s="26"/>
      <c r="H195" s="26"/>
      <c r="I195" s="6">
        <v>650</v>
      </c>
      <c r="J195" s="7" t="s">
        <v>472</v>
      </c>
      <c r="K195" s="7"/>
    </row>
    <row r="196" spans="1:11" s="2" customFormat="1" x14ac:dyDescent="0.2">
      <c r="A196" s="9">
        <v>13000001</v>
      </c>
      <c r="B196" s="4" t="s">
        <v>221</v>
      </c>
      <c r="C196" s="4" t="s">
        <v>16</v>
      </c>
      <c r="D196" s="5">
        <v>4</v>
      </c>
      <c r="E196" s="26"/>
      <c r="F196" s="26"/>
      <c r="G196" s="26"/>
      <c r="H196" s="26"/>
      <c r="I196" s="6">
        <v>650</v>
      </c>
      <c r="J196" s="7" t="s">
        <v>472</v>
      </c>
      <c r="K196" s="7"/>
    </row>
    <row r="197" spans="1:11" s="2" customFormat="1" x14ac:dyDescent="0.2">
      <c r="A197" s="9">
        <v>13000003</v>
      </c>
      <c r="B197" s="4" t="s">
        <v>222</v>
      </c>
      <c r="C197" s="4" t="s">
        <v>16</v>
      </c>
      <c r="D197" s="5">
        <v>0</v>
      </c>
      <c r="E197" s="26"/>
      <c r="F197" s="26"/>
      <c r="G197" s="26"/>
      <c r="H197" s="26"/>
      <c r="I197" s="6">
        <v>850</v>
      </c>
      <c r="J197" s="7" t="s">
        <v>472</v>
      </c>
      <c r="K197" s="7"/>
    </row>
    <row r="198" spans="1:11" s="2" customFormat="1" x14ac:dyDescent="0.2">
      <c r="A198" s="9">
        <v>13000002</v>
      </c>
      <c r="B198" s="4" t="s">
        <v>223</v>
      </c>
      <c r="C198" s="4" t="s">
        <v>16</v>
      </c>
      <c r="D198" s="5">
        <v>38</v>
      </c>
      <c r="E198" s="26"/>
      <c r="F198" s="26"/>
      <c r="G198" s="26"/>
      <c r="H198" s="26"/>
      <c r="I198" s="6">
        <v>650</v>
      </c>
      <c r="J198" s="7" t="s">
        <v>472</v>
      </c>
      <c r="K198" s="7"/>
    </row>
    <row r="199" spans="1:11" s="2" customFormat="1" x14ac:dyDescent="0.2">
      <c r="A199" s="9">
        <v>13000008</v>
      </c>
      <c r="B199" s="4" t="s">
        <v>224</v>
      </c>
      <c r="C199" s="4" t="s">
        <v>16</v>
      </c>
      <c r="D199" s="5">
        <v>0</v>
      </c>
      <c r="E199" s="26"/>
      <c r="F199" s="26"/>
      <c r="G199" s="26"/>
      <c r="H199" s="26"/>
      <c r="I199" s="6">
        <v>500</v>
      </c>
      <c r="J199" s="7" t="s">
        <v>472</v>
      </c>
      <c r="K199" s="7"/>
    </row>
    <row r="200" spans="1:11" s="2" customFormat="1" x14ac:dyDescent="0.2">
      <c r="A200" s="9">
        <v>10700030</v>
      </c>
      <c r="B200" s="4" t="s">
        <v>225</v>
      </c>
      <c r="C200" s="4" t="s">
        <v>12</v>
      </c>
      <c r="D200" s="5">
        <v>22</v>
      </c>
      <c r="E200" s="26">
        <v>15</v>
      </c>
      <c r="F200" s="26">
        <f>ROUND(E200/2, 0)</f>
        <v>8</v>
      </c>
      <c r="G200" s="26">
        <f>E200-F200</f>
        <v>7</v>
      </c>
      <c r="H200" s="26" t="str">
        <f>IF(G200&lt;=0,"To Order", "Ok")</f>
        <v>Ok</v>
      </c>
      <c r="I200" s="6">
        <v>207.5</v>
      </c>
      <c r="J200" s="7" t="s">
        <v>476</v>
      </c>
      <c r="K200" s="7">
        <v>7</v>
      </c>
    </row>
    <row r="201" spans="1:11" s="2" customFormat="1" x14ac:dyDescent="0.2">
      <c r="A201" s="9">
        <v>10000003</v>
      </c>
      <c r="B201" s="4" t="s">
        <v>226</v>
      </c>
      <c r="C201" s="4" t="s">
        <v>227</v>
      </c>
      <c r="D201" s="5">
        <v>0</v>
      </c>
      <c r="E201" s="26"/>
      <c r="F201" s="26"/>
      <c r="G201" s="26"/>
      <c r="H201" s="26"/>
      <c r="I201" s="6">
        <v>520</v>
      </c>
      <c r="J201" s="7" t="s">
        <v>471</v>
      </c>
      <c r="K201" s="7"/>
    </row>
    <row r="202" spans="1:11" s="2" customFormat="1" x14ac:dyDescent="0.2">
      <c r="A202" s="9">
        <v>11800027</v>
      </c>
      <c r="B202" s="4" t="s">
        <v>228</v>
      </c>
      <c r="C202" s="4" t="s">
        <v>132</v>
      </c>
      <c r="D202" s="5">
        <v>1</v>
      </c>
      <c r="E202" s="26"/>
      <c r="F202" s="26"/>
      <c r="G202" s="26"/>
      <c r="H202" s="26"/>
      <c r="I202" s="6">
        <v>150</v>
      </c>
      <c r="J202" s="7" t="s">
        <v>471</v>
      </c>
      <c r="K202" s="7"/>
    </row>
    <row r="203" spans="1:11" s="2" customFormat="1" x14ac:dyDescent="0.2">
      <c r="A203" s="9">
        <v>10100027</v>
      </c>
      <c r="B203" s="4" t="s">
        <v>229</v>
      </c>
      <c r="C203" s="4" t="s">
        <v>16</v>
      </c>
      <c r="D203" s="5">
        <v>0</v>
      </c>
      <c r="E203" s="26"/>
      <c r="F203" s="26"/>
      <c r="G203" s="26"/>
      <c r="H203" s="26"/>
      <c r="I203" s="6">
        <v>150</v>
      </c>
      <c r="J203" s="7" t="s">
        <v>471</v>
      </c>
      <c r="K203" s="7"/>
    </row>
    <row r="204" spans="1:11" s="2" customFormat="1" x14ac:dyDescent="0.2">
      <c r="A204" s="9">
        <v>11200003</v>
      </c>
      <c r="B204" s="4" t="s">
        <v>230</v>
      </c>
      <c r="C204" s="4" t="s">
        <v>16</v>
      </c>
      <c r="D204" s="5">
        <v>33</v>
      </c>
      <c r="E204" s="26"/>
      <c r="F204" s="26">
        <f>ROUND(E204/2, 0)</f>
        <v>0</v>
      </c>
      <c r="G204" s="26">
        <f>E204-F204</f>
        <v>0</v>
      </c>
      <c r="H204" s="26" t="str">
        <f>IF(G204&lt;=0,"To Order", "Ok")</f>
        <v>To Order</v>
      </c>
      <c r="I204" s="6">
        <v>173</v>
      </c>
      <c r="J204" s="7" t="s">
        <v>476</v>
      </c>
      <c r="K204" s="7"/>
    </row>
    <row r="205" spans="1:11" s="2" customFormat="1" x14ac:dyDescent="0.2">
      <c r="A205" s="9">
        <v>11900001</v>
      </c>
      <c r="B205" s="4" t="s">
        <v>231</v>
      </c>
      <c r="C205" s="4" t="s">
        <v>16</v>
      </c>
      <c r="D205" s="5">
        <v>0</v>
      </c>
      <c r="E205" s="26">
        <v>24</v>
      </c>
      <c r="F205" s="26">
        <f>ROUND(E205/2, 0)</f>
        <v>12</v>
      </c>
      <c r="G205" s="26">
        <f>E205-F205</f>
        <v>12</v>
      </c>
      <c r="H205" s="26" t="str">
        <f>IF(G205&lt;=0,"To Order", "Ok")</f>
        <v>Ok</v>
      </c>
      <c r="I205" s="6">
        <v>500</v>
      </c>
      <c r="J205" s="7" t="s">
        <v>476</v>
      </c>
      <c r="K205" s="7">
        <v>8</v>
      </c>
    </row>
    <row r="206" spans="1:11" s="2" customFormat="1" x14ac:dyDescent="0.2">
      <c r="A206" s="9">
        <v>10800028</v>
      </c>
      <c r="B206" s="4" t="s">
        <v>232</v>
      </c>
      <c r="C206" s="4" t="s">
        <v>12</v>
      </c>
      <c r="D206" s="5">
        <v>0</v>
      </c>
      <c r="E206" s="26">
        <v>10</v>
      </c>
      <c r="F206" s="26">
        <f>ROUND(E206/2, 0)</f>
        <v>5</v>
      </c>
      <c r="G206" s="26">
        <f>E206-F206</f>
        <v>5</v>
      </c>
      <c r="H206" s="26" t="str">
        <f>IF(G206&lt;=0,"To Order", "Ok")</f>
        <v>Ok</v>
      </c>
      <c r="I206" s="6">
        <v>288</v>
      </c>
      <c r="J206" s="7" t="s">
        <v>476</v>
      </c>
      <c r="K206" s="7">
        <v>5</v>
      </c>
    </row>
    <row r="207" spans="1:11" s="2" customFormat="1" x14ac:dyDescent="0.2">
      <c r="A207" s="9">
        <v>11100204</v>
      </c>
      <c r="B207" s="4" t="s">
        <v>233</v>
      </c>
      <c r="C207" s="4" t="s">
        <v>14</v>
      </c>
      <c r="D207" s="5">
        <v>3</v>
      </c>
      <c r="E207" s="26">
        <v>2</v>
      </c>
      <c r="F207" s="26">
        <f>ROUND(E207/2, 0)</f>
        <v>1</v>
      </c>
      <c r="G207" s="26">
        <f>E207-F207</f>
        <v>1</v>
      </c>
      <c r="H207" s="26" t="str">
        <f>IF(G207&lt;=0,"To Order", "Ok")</f>
        <v>Ok</v>
      </c>
      <c r="I207" s="6">
        <v>324.09482960000003</v>
      </c>
      <c r="J207" s="7" t="s">
        <v>476</v>
      </c>
      <c r="K207" s="7">
        <v>1</v>
      </c>
    </row>
    <row r="208" spans="1:11" s="2" customFormat="1" x14ac:dyDescent="0.2">
      <c r="A208" s="9">
        <v>16300034</v>
      </c>
      <c r="B208" s="4" t="s">
        <v>234</v>
      </c>
      <c r="C208" s="4" t="s">
        <v>14</v>
      </c>
      <c r="D208" s="5">
        <v>0</v>
      </c>
      <c r="E208" s="26"/>
      <c r="F208" s="26"/>
      <c r="G208" s="26"/>
      <c r="H208" s="26"/>
      <c r="I208" s="6">
        <v>800</v>
      </c>
      <c r="J208" s="7" t="s">
        <v>473</v>
      </c>
      <c r="K208" s="7">
        <v>4</v>
      </c>
    </row>
    <row r="209" spans="1:11" s="2" customFormat="1" x14ac:dyDescent="0.2">
      <c r="A209" s="9">
        <v>10300031</v>
      </c>
      <c r="B209" s="4" t="s">
        <v>235</v>
      </c>
      <c r="C209" s="4" t="s">
        <v>16</v>
      </c>
      <c r="D209" s="5">
        <v>0.5</v>
      </c>
      <c r="E209" s="26"/>
      <c r="F209" s="26"/>
      <c r="G209" s="26"/>
      <c r="H209" s="26"/>
      <c r="I209" s="6">
        <v>1379.32</v>
      </c>
      <c r="J209" s="7" t="s">
        <v>472</v>
      </c>
      <c r="K209" s="7">
        <v>2</v>
      </c>
    </row>
    <row r="210" spans="1:11" s="2" customFormat="1" x14ac:dyDescent="0.2">
      <c r="A210" s="9">
        <v>10100088</v>
      </c>
      <c r="B210" s="4" t="s">
        <v>236</v>
      </c>
      <c r="C210" s="4" t="s">
        <v>8</v>
      </c>
      <c r="D210" s="5">
        <v>0</v>
      </c>
      <c r="E210" s="26"/>
      <c r="F210" s="26"/>
      <c r="G210" s="26"/>
      <c r="H210" s="26"/>
      <c r="I210" s="6">
        <v>50</v>
      </c>
      <c r="J210" s="7" t="s">
        <v>471</v>
      </c>
      <c r="K210" s="7"/>
    </row>
    <row r="211" spans="1:11" s="2" customFormat="1" x14ac:dyDescent="0.2">
      <c r="A211" s="9">
        <v>11100174</v>
      </c>
      <c r="B211" s="4" t="s">
        <v>237</v>
      </c>
      <c r="C211" s="4" t="s">
        <v>98</v>
      </c>
      <c r="D211" s="5">
        <v>1.5</v>
      </c>
      <c r="E211" s="26">
        <v>9</v>
      </c>
      <c r="F211" s="26">
        <f>ROUND(E211/2, 0)</f>
        <v>5</v>
      </c>
      <c r="G211" s="26">
        <f>E211-F211</f>
        <v>4</v>
      </c>
      <c r="H211" s="26" t="str">
        <f>IF(G211&lt;=0,"To Order", "Ok")</f>
        <v>Ok</v>
      </c>
      <c r="I211" s="6">
        <v>820</v>
      </c>
      <c r="J211" s="7" t="s">
        <v>476</v>
      </c>
      <c r="K211" s="7">
        <v>5</v>
      </c>
    </row>
    <row r="212" spans="1:11" s="2" customFormat="1" x14ac:dyDescent="0.2">
      <c r="A212" s="9">
        <v>10800029</v>
      </c>
      <c r="B212" s="4" t="s">
        <v>238</v>
      </c>
      <c r="C212" s="4" t="s">
        <v>12</v>
      </c>
      <c r="D212" s="5">
        <v>0</v>
      </c>
      <c r="E212" s="26">
        <v>11</v>
      </c>
      <c r="F212" s="26">
        <f>ROUND(E212/2, 0)</f>
        <v>6</v>
      </c>
      <c r="G212" s="26">
        <f>E212-F212</f>
        <v>5</v>
      </c>
      <c r="H212" s="26" t="str">
        <f>IF(G212&lt;=0,"To Order", "Ok")</f>
        <v>Ok</v>
      </c>
      <c r="I212" s="6">
        <v>1930</v>
      </c>
      <c r="J212" s="7" t="s">
        <v>476</v>
      </c>
      <c r="K212" s="7">
        <v>6</v>
      </c>
    </row>
    <row r="213" spans="1:11" s="2" customFormat="1" x14ac:dyDescent="0.2">
      <c r="A213" s="9">
        <v>11100198</v>
      </c>
      <c r="B213" s="4" t="s">
        <v>239</v>
      </c>
      <c r="C213" s="4" t="s">
        <v>12</v>
      </c>
      <c r="D213" s="5">
        <v>0</v>
      </c>
      <c r="E213" s="26"/>
      <c r="F213" s="26">
        <f>ROUND(E213/2, 0)</f>
        <v>0</v>
      </c>
      <c r="G213" s="26">
        <f>E213-F213</f>
        <v>0</v>
      </c>
      <c r="H213" s="26" t="str">
        <f>IF(G213&lt;=0,"To Order", "Ok")</f>
        <v>To Order</v>
      </c>
      <c r="I213" s="6">
        <v>140</v>
      </c>
      <c r="J213" s="7" t="s">
        <v>476</v>
      </c>
      <c r="K213" s="7"/>
    </row>
    <row r="214" spans="1:11" s="2" customFormat="1" x14ac:dyDescent="0.2">
      <c r="A214" s="9">
        <v>11100032</v>
      </c>
      <c r="B214" s="4" t="s">
        <v>240</v>
      </c>
      <c r="C214" s="4" t="s">
        <v>16</v>
      </c>
      <c r="D214" s="5">
        <v>0</v>
      </c>
      <c r="E214" s="26"/>
      <c r="F214" s="26">
        <f>ROUND(E214/2, 0)</f>
        <v>0</v>
      </c>
      <c r="G214" s="26">
        <f>E214-F214</f>
        <v>0</v>
      </c>
      <c r="H214" s="26" t="str">
        <f>IF(G214&lt;=0,"To Order", "Ok")</f>
        <v>To Order</v>
      </c>
      <c r="I214" s="6">
        <v>440</v>
      </c>
      <c r="J214" s="7" t="s">
        <v>476</v>
      </c>
      <c r="K214" s="7">
        <v>10</v>
      </c>
    </row>
    <row r="215" spans="1:11" s="2" customFormat="1" x14ac:dyDescent="0.2">
      <c r="A215" s="9">
        <v>10600028</v>
      </c>
      <c r="B215" s="4" t="s">
        <v>241</v>
      </c>
      <c r="C215" s="4" t="s">
        <v>14</v>
      </c>
      <c r="D215" s="5">
        <v>2</v>
      </c>
      <c r="E215" s="26">
        <v>2</v>
      </c>
      <c r="F215" s="26">
        <f>ROUND(E215/2, 0)</f>
        <v>1</v>
      </c>
      <c r="G215" s="26">
        <f>E215-F215</f>
        <v>1</v>
      </c>
      <c r="H215" s="26" t="str">
        <f>IF(G215&lt;=0,"To Order", "Ok")</f>
        <v>Ok</v>
      </c>
      <c r="I215" s="6">
        <v>265</v>
      </c>
      <c r="J215" s="7" t="s">
        <v>476</v>
      </c>
      <c r="K215" s="7">
        <v>1</v>
      </c>
    </row>
    <row r="216" spans="1:11" s="2" customFormat="1" x14ac:dyDescent="0.2">
      <c r="A216" s="9">
        <v>10100085</v>
      </c>
      <c r="B216" s="4" t="s">
        <v>242</v>
      </c>
      <c r="C216" s="4" t="s">
        <v>14</v>
      </c>
      <c r="D216" s="5">
        <v>0</v>
      </c>
      <c r="E216" s="26"/>
      <c r="F216" s="26"/>
      <c r="G216" s="26"/>
      <c r="H216" s="26"/>
      <c r="I216" s="6">
        <v>50</v>
      </c>
      <c r="J216" s="7" t="s">
        <v>471</v>
      </c>
      <c r="K216" s="7"/>
    </row>
    <row r="217" spans="1:11" s="2" customFormat="1" x14ac:dyDescent="0.2">
      <c r="A217" s="9">
        <v>11400027</v>
      </c>
      <c r="B217" s="4" t="s">
        <v>243</v>
      </c>
      <c r="C217" s="4" t="s">
        <v>42</v>
      </c>
      <c r="D217" s="5">
        <v>11</v>
      </c>
      <c r="E217" s="26">
        <v>8</v>
      </c>
      <c r="F217" s="26">
        <f>ROUND(E217/2, 0)</f>
        <v>4</v>
      </c>
      <c r="G217" s="26">
        <f>E217-F217</f>
        <v>4</v>
      </c>
      <c r="H217" s="26" t="str">
        <f>IF(G217&lt;=0,"To Order", "Ok")</f>
        <v>Ok</v>
      </c>
      <c r="I217" s="6">
        <v>93</v>
      </c>
      <c r="J217" s="7" t="s">
        <v>476</v>
      </c>
      <c r="K217" s="7">
        <v>3</v>
      </c>
    </row>
    <row r="218" spans="1:11" s="2" customFormat="1" x14ac:dyDescent="0.2">
      <c r="A218" s="9">
        <v>10000038</v>
      </c>
      <c r="B218" s="4" t="s">
        <v>244</v>
      </c>
      <c r="C218" s="4" t="s">
        <v>16</v>
      </c>
      <c r="D218" s="5">
        <v>0</v>
      </c>
      <c r="E218" s="26"/>
      <c r="F218" s="26"/>
      <c r="G218" s="26"/>
      <c r="H218" s="26"/>
      <c r="I218" s="6">
        <v>350</v>
      </c>
      <c r="J218" s="7" t="s">
        <v>471</v>
      </c>
      <c r="K218" s="7"/>
    </row>
    <row r="219" spans="1:11" s="2" customFormat="1" x14ac:dyDescent="0.2">
      <c r="A219" s="9">
        <v>11400016</v>
      </c>
      <c r="B219" s="4" t="s">
        <v>245</v>
      </c>
      <c r="C219" s="4" t="s">
        <v>42</v>
      </c>
      <c r="D219" s="5">
        <v>0</v>
      </c>
      <c r="E219" s="26">
        <v>2</v>
      </c>
      <c r="F219" s="26">
        <f t="shared" ref="F219:F224" si="24">ROUND(E219/2, 0)</f>
        <v>1</v>
      </c>
      <c r="G219" s="26">
        <f t="shared" ref="G219:G224" si="25">E219-F219</f>
        <v>1</v>
      </c>
      <c r="H219" s="26" t="str">
        <f t="shared" ref="H219:H224" si="26">IF(G219&lt;=0,"To Order", "Ok")</f>
        <v>Ok</v>
      </c>
      <c r="I219" s="6">
        <v>60</v>
      </c>
      <c r="J219" s="7" t="s">
        <v>476</v>
      </c>
      <c r="K219" s="7">
        <v>1</v>
      </c>
    </row>
    <row r="220" spans="1:11" s="2" customFormat="1" x14ac:dyDescent="0.2">
      <c r="A220" s="9">
        <v>12600002</v>
      </c>
      <c r="B220" s="4" t="s">
        <v>246</v>
      </c>
      <c r="C220" s="4" t="s">
        <v>42</v>
      </c>
      <c r="D220" s="5">
        <v>4</v>
      </c>
      <c r="E220" s="26">
        <v>3</v>
      </c>
      <c r="F220" s="26">
        <f t="shared" si="24"/>
        <v>2</v>
      </c>
      <c r="G220" s="26">
        <f t="shared" si="25"/>
        <v>1</v>
      </c>
      <c r="H220" s="26" t="str">
        <f t="shared" si="26"/>
        <v>Ok</v>
      </c>
      <c r="I220" s="6">
        <v>130.5</v>
      </c>
      <c r="J220" s="7" t="s">
        <v>476</v>
      </c>
      <c r="K220" s="7">
        <v>1</v>
      </c>
    </row>
    <row r="221" spans="1:11" s="2" customFormat="1" x14ac:dyDescent="0.2">
      <c r="A221" s="9">
        <v>11100188</v>
      </c>
      <c r="B221" s="4" t="s">
        <v>247</v>
      </c>
      <c r="C221" s="4" t="s">
        <v>16</v>
      </c>
      <c r="D221" s="5">
        <v>0</v>
      </c>
      <c r="E221" s="26"/>
      <c r="F221" s="26">
        <f t="shared" si="24"/>
        <v>0</v>
      </c>
      <c r="G221" s="26">
        <f t="shared" si="25"/>
        <v>0</v>
      </c>
      <c r="H221" s="26" t="str">
        <f t="shared" si="26"/>
        <v>To Order</v>
      </c>
      <c r="I221" s="6">
        <v>185.34</v>
      </c>
      <c r="J221" s="7" t="s">
        <v>476</v>
      </c>
      <c r="K221" s="7"/>
    </row>
    <row r="222" spans="1:11" s="2" customFormat="1" x14ac:dyDescent="0.2">
      <c r="A222" s="9">
        <v>11100034</v>
      </c>
      <c r="B222" s="4" t="s">
        <v>248</v>
      </c>
      <c r="C222" s="4" t="s">
        <v>98</v>
      </c>
      <c r="D222" s="5">
        <v>3</v>
      </c>
      <c r="E222" s="26">
        <v>6</v>
      </c>
      <c r="F222" s="26">
        <f t="shared" si="24"/>
        <v>3</v>
      </c>
      <c r="G222" s="26">
        <f t="shared" si="25"/>
        <v>3</v>
      </c>
      <c r="H222" s="26" t="str">
        <f t="shared" si="26"/>
        <v>Ok</v>
      </c>
      <c r="I222" s="6">
        <v>660</v>
      </c>
      <c r="J222" s="7" t="s">
        <v>476</v>
      </c>
      <c r="K222" s="7">
        <v>2</v>
      </c>
    </row>
    <row r="223" spans="1:11" s="2" customFormat="1" x14ac:dyDescent="0.2">
      <c r="A223" s="9">
        <v>12500002</v>
      </c>
      <c r="B223" s="4" t="s">
        <v>249</v>
      </c>
      <c r="C223" s="4" t="s">
        <v>98</v>
      </c>
      <c r="D223" s="5">
        <v>3</v>
      </c>
      <c r="E223" s="26">
        <v>7</v>
      </c>
      <c r="F223" s="26">
        <f t="shared" si="24"/>
        <v>4</v>
      </c>
      <c r="G223" s="26">
        <f t="shared" si="25"/>
        <v>3</v>
      </c>
      <c r="H223" s="26" t="str">
        <f t="shared" si="26"/>
        <v>Ok</v>
      </c>
      <c r="I223" s="6">
        <v>660</v>
      </c>
      <c r="J223" s="7" t="s">
        <v>476</v>
      </c>
      <c r="K223" s="7">
        <v>2</v>
      </c>
    </row>
    <row r="224" spans="1:11" s="2" customFormat="1" x14ac:dyDescent="0.2">
      <c r="A224" s="9">
        <v>11100035</v>
      </c>
      <c r="B224" s="4" t="s">
        <v>250</v>
      </c>
      <c r="C224" s="4" t="s">
        <v>98</v>
      </c>
      <c r="D224" s="5">
        <v>2</v>
      </c>
      <c r="E224" s="26">
        <v>1</v>
      </c>
      <c r="F224" s="26">
        <f t="shared" si="24"/>
        <v>1</v>
      </c>
      <c r="G224" s="26">
        <f t="shared" si="25"/>
        <v>0</v>
      </c>
      <c r="H224" s="26" t="str">
        <f t="shared" si="26"/>
        <v>To Order</v>
      </c>
      <c r="I224" s="6">
        <v>660</v>
      </c>
      <c r="J224" s="7" t="s">
        <v>476</v>
      </c>
      <c r="K224" s="7">
        <v>2</v>
      </c>
    </row>
    <row r="225" spans="1:11" s="2" customFormat="1" x14ac:dyDescent="0.2">
      <c r="A225" s="9">
        <v>11100227</v>
      </c>
      <c r="B225" s="4" t="s">
        <v>251</v>
      </c>
      <c r="C225" s="4" t="s">
        <v>199</v>
      </c>
      <c r="D225" s="5">
        <v>0</v>
      </c>
      <c r="E225" s="26"/>
      <c r="F225" s="26"/>
      <c r="G225" s="26"/>
      <c r="H225" s="26"/>
      <c r="I225" s="6">
        <v>3.5</v>
      </c>
      <c r="J225" s="7"/>
      <c r="K225" s="7"/>
    </row>
    <row r="226" spans="1:11" s="2" customFormat="1" x14ac:dyDescent="0.2">
      <c r="A226" s="9">
        <v>10700015</v>
      </c>
      <c r="B226" s="4" t="s">
        <v>252</v>
      </c>
      <c r="C226" s="4" t="s">
        <v>16</v>
      </c>
      <c r="D226" s="5">
        <v>24</v>
      </c>
      <c r="E226" s="26">
        <v>28</v>
      </c>
      <c r="F226" s="26">
        <f>ROUND(E226/2, 0)</f>
        <v>14</v>
      </c>
      <c r="G226" s="26">
        <f>E226-F226</f>
        <v>14</v>
      </c>
      <c r="H226" s="26" t="str">
        <f>IF(G226&lt;=0,"To Order", "Ok")</f>
        <v>Ok</v>
      </c>
      <c r="I226" s="6">
        <v>120</v>
      </c>
      <c r="J226" s="7" t="s">
        <v>476</v>
      </c>
      <c r="K226" s="7">
        <v>14</v>
      </c>
    </row>
    <row r="227" spans="1:11" s="2" customFormat="1" x14ac:dyDescent="0.2">
      <c r="A227" s="9">
        <v>12100034</v>
      </c>
      <c r="B227" s="4" t="s">
        <v>253</v>
      </c>
      <c r="C227" s="4" t="s">
        <v>20</v>
      </c>
      <c r="D227" s="5">
        <v>0</v>
      </c>
      <c r="E227" s="26"/>
      <c r="F227" s="26"/>
      <c r="G227" s="26"/>
      <c r="H227" s="26"/>
      <c r="I227" s="6">
        <v>200</v>
      </c>
      <c r="J227" s="7" t="s">
        <v>471</v>
      </c>
      <c r="K227" s="7"/>
    </row>
    <row r="228" spans="1:11" s="2" customFormat="1" x14ac:dyDescent="0.2">
      <c r="A228" s="9">
        <v>13300008</v>
      </c>
      <c r="B228" s="4" t="s">
        <v>254</v>
      </c>
      <c r="C228" s="4" t="s">
        <v>16</v>
      </c>
      <c r="D228" s="5">
        <v>0</v>
      </c>
      <c r="E228" s="26"/>
      <c r="F228" s="26"/>
      <c r="G228" s="26"/>
      <c r="H228" s="26"/>
      <c r="I228" s="6">
        <v>3100</v>
      </c>
      <c r="J228" s="7" t="s">
        <v>472</v>
      </c>
      <c r="K228" s="7"/>
    </row>
    <row r="229" spans="1:11" s="2" customFormat="1" x14ac:dyDescent="0.2">
      <c r="A229" s="9">
        <v>13200001</v>
      </c>
      <c r="B229" s="4" t="s">
        <v>255</v>
      </c>
      <c r="C229" s="4" t="s">
        <v>16</v>
      </c>
      <c r="D229" s="5">
        <v>0</v>
      </c>
      <c r="E229" s="26"/>
      <c r="F229" s="26"/>
      <c r="G229" s="26"/>
      <c r="H229" s="26"/>
      <c r="I229" s="6">
        <v>2350</v>
      </c>
      <c r="J229" s="7" t="s">
        <v>472</v>
      </c>
      <c r="K229" s="7"/>
    </row>
    <row r="230" spans="1:11" s="2" customFormat="1" x14ac:dyDescent="0.2">
      <c r="A230" s="9">
        <v>10100092</v>
      </c>
      <c r="B230" s="4" t="s">
        <v>256</v>
      </c>
      <c r="C230" s="4" t="s">
        <v>8</v>
      </c>
      <c r="D230" s="5">
        <v>0</v>
      </c>
      <c r="E230" s="26"/>
      <c r="F230" s="26"/>
      <c r="G230" s="26"/>
      <c r="H230" s="26"/>
      <c r="I230" s="6">
        <v>30</v>
      </c>
      <c r="J230" s="7" t="s">
        <v>471</v>
      </c>
      <c r="K230" s="7"/>
    </row>
    <row r="231" spans="1:11" s="2" customFormat="1" x14ac:dyDescent="0.2">
      <c r="A231" s="9">
        <v>11100170</v>
      </c>
      <c r="B231" s="4" t="s">
        <v>257</v>
      </c>
      <c r="C231" s="4" t="s">
        <v>42</v>
      </c>
      <c r="D231" s="5">
        <v>1</v>
      </c>
      <c r="E231" s="26">
        <v>4</v>
      </c>
      <c r="F231" s="26">
        <f>ROUND(E231/2, 0)</f>
        <v>2</v>
      </c>
      <c r="G231" s="26">
        <f>E231-F231</f>
        <v>2</v>
      </c>
      <c r="H231" s="26" t="str">
        <f>IF(G231&lt;=0,"To Order", "Ok")</f>
        <v>Ok</v>
      </c>
      <c r="I231" s="6">
        <v>240</v>
      </c>
      <c r="J231" s="7" t="s">
        <v>476</v>
      </c>
      <c r="K231" s="7">
        <v>1</v>
      </c>
    </row>
    <row r="232" spans="1:11" s="2" customFormat="1" x14ac:dyDescent="0.2">
      <c r="A232" s="9">
        <v>11100142</v>
      </c>
      <c r="B232" s="4" t="s">
        <v>258</v>
      </c>
      <c r="C232" s="4" t="s">
        <v>199</v>
      </c>
      <c r="D232" s="5">
        <v>4000</v>
      </c>
      <c r="E232" s="26"/>
      <c r="F232" s="26">
        <f>ROUND(E232/2, 0)</f>
        <v>0</v>
      </c>
      <c r="G232" s="26">
        <f>E232-F232</f>
        <v>0</v>
      </c>
      <c r="H232" s="26" t="str">
        <f>IF(G232&lt;=0,"To Order", "Ok")</f>
        <v>To Order</v>
      </c>
      <c r="I232" s="6">
        <v>0.34</v>
      </c>
      <c r="J232" s="7" t="s">
        <v>476</v>
      </c>
      <c r="K232" s="7"/>
    </row>
    <row r="233" spans="1:11" s="2" customFormat="1" x14ac:dyDescent="0.2">
      <c r="A233" s="9">
        <v>12300003</v>
      </c>
      <c r="B233" s="4" t="s">
        <v>259</v>
      </c>
      <c r="C233" s="4" t="s">
        <v>10</v>
      </c>
      <c r="D233" s="5">
        <v>0</v>
      </c>
      <c r="E233" s="26">
        <v>23</v>
      </c>
      <c r="F233" s="26">
        <f>ROUND(E233/2, 0)</f>
        <v>12</v>
      </c>
      <c r="G233" s="26">
        <f>E233-F233</f>
        <v>11</v>
      </c>
      <c r="H233" s="26" t="str">
        <f>IF(G233&lt;=0,"To Order", "Ok")</f>
        <v>Ok</v>
      </c>
      <c r="I233" s="6">
        <v>275</v>
      </c>
      <c r="J233" s="7" t="s">
        <v>476</v>
      </c>
      <c r="K233" s="7">
        <v>8</v>
      </c>
    </row>
    <row r="234" spans="1:11" s="2" customFormat="1" x14ac:dyDescent="0.2">
      <c r="A234" s="9">
        <v>12300001</v>
      </c>
      <c r="B234" s="4" t="s">
        <v>260</v>
      </c>
      <c r="C234" s="4" t="s">
        <v>16</v>
      </c>
      <c r="D234" s="5">
        <v>0</v>
      </c>
      <c r="E234" s="26"/>
      <c r="F234" s="26">
        <f>ROUND(E234/2, 0)</f>
        <v>0</v>
      </c>
      <c r="G234" s="26">
        <f>E234-F234</f>
        <v>0</v>
      </c>
      <c r="H234" s="26" t="str">
        <f>IF(G234&lt;=0,"To Order", "Ok")</f>
        <v>To Order</v>
      </c>
      <c r="I234" s="6">
        <v>220</v>
      </c>
      <c r="J234" s="7" t="s">
        <v>476</v>
      </c>
      <c r="K234" s="7"/>
    </row>
    <row r="235" spans="1:11" s="2" customFormat="1" x14ac:dyDescent="0.2">
      <c r="A235" s="9">
        <v>12000020</v>
      </c>
      <c r="B235" s="4" t="s">
        <v>261</v>
      </c>
      <c r="C235" s="4" t="s">
        <v>262</v>
      </c>
      <c r="D235" s="5">
        <v>3</v>
      </c>
      <c r="E235" s="26">
        <v>1</v>
      </c>
      <c r="F235" s="26">
        <f>ROUND(E235/2, 0)</f>
        <v>1</v>
      </c>
      <c r="G235" s="26">
        <f>E235-F235</f>
        <v>0</v>
      </c>
      <c r="H235" s="26" t="str">
        <f>IF(G235&lt;=0,"To Order", "Ok")</f>
        <v>To Order</v>
      </c>
      <c r="I235" s="6">
        <v>285.71429000000001</v>
      </c>
      <c r="J235" s="7" t="s">
        <v>476</v>
      </c>
      <c r="K235" s="7">
        <v>1</v>
      </c>
    </row>
    <row r="236" spans="1:11" s="2" customFormat="1" x14ac:dyDescent="0.2">
      <c r="A236" s="9">
        <v>12800025</v>
      </c>
      <c r="B236" s="4" t="s">
        <v>263</v>
      </c>
      <c r="C236" s="4" t="s">
        <v>16</v>
      </c>
      <c r="D236" s="5">
        <v>0</v>
      </c>
      <c r="E236" s="26"/>
      <c r="F236" s="26"/>
      <c r="G236" s="26"/>
      <c r="H236" s="26"/>
      <c r="I236" s="6">
        <v>850</v>
      </c>
      <c r="J236" s="7" t="s">
        <v>472</v>
      </c>
      <c r="K236" s="7"/>
    </row>
    <row r="237" spans="1:11" s="2" customFormat="1" x14ac:dyDescent="0.2">
      <c r="A237" s="9">
        <v>10100028</v>
      </c>
      <c r="B237" s="4" t="s">
        <v>264</v>
      </c>
      <c r="C237" s="4" t="s">
        <v>16</v>
      </c>
      <c r="D237" s="5">
        <v>0</v>
      </c>
      <c r="E237" s="26"/>
      <c r="F237" s="26"/>
      <c r="G237" s="26"/>
      <c r="H237" s="26"/>
      <c r="I237" s="6">
        <v>90</v>
      </c>
      <c r="J237" s="7" t="s">
        <v>471</v>
      </c>
      <c r="K237" s="7"/>
    </row>
    <row r="238" spans="1:11" s="2" customFormat="1" x14ac:dyDescent="0.2">
      <c r="A238" s="9">
        <v>10000006</v>
      </c>
      <c r="B238" s="4" t="s">
        <v>265</v>
      </c>
      <c r="C238" s="4" t="s">
        <v>16</v>
      </c>
      <c r="D238" s="5">
        <v>0</v>
      </c>
      <c r="E238" s="26"/>
      <c r="F238" s="26"/>
      <c r="G238" s="26"/>
      <c r="H238" s="26"/>
      <c r="I238" s="6">
        <v>110</v>
      </c>
      <c r="J238" s="7" t="s">
        <v>471</v>
      </c>
      <c r="K238" s="7"/>
    </row>
    <row r="239" spans="1:11" s="2" customFormat="1" x14ac:dyDescent="0.2">
      <c r="A239" s="9">
        <v>10000033</v>
      </c>
      <c r="B239" s="4" t="s">
        <v>266</v>
      </c>
      <c r="C239" s="4" t="s">
        <v>16</v>
      </c>
      <c r="D239" s="5">
        <v>0</v>
      </c>
      <c r="E239" s="26"/>
      <c r="F239" s="26"/>
      <c r="G239" s="26"/>
      <c r="H239" s="26"/>
      <c r="I239" s="6">
        <v>400</v>
      </c>
      <c r="J239" s="7" t="s">
        <v>471</v>
      </c>
      <c r="K239" s="7"/>
    </row>
    <row r="240" spans="1:11" s="2" customFormat="1" x14ac:dyDescent="0.2">
      <c r="A240" s="9">
        <v>12300004</v>
      </c>
      <c r="B240" s="4" t="s">
        <v>267</v>
      </c>
      <c r="C240" s="4" t="s">
        <v>12</v>
      </c>
      <c r="D240" s="5">
        <v>0</v>
      </c>
      <c r="E240" s="26"/>
      <c r="F240" s="26">
        <f>ROUND(E240/2, 0)</f>
        <v>0</v>
      </c>
      <c r="G240" s="26">
        <f>E240-F240</f>
        <v>0</v>
      </c>
      <c r="H240" s="26" t="str">
        <f>IF(G240&lt;=0,"To Order", "Ok")</f>
        <v>To Order</v>
      </c>
      <c r="I240" s="6">
        <v>840</v>
      </c>
      <c r="J240" s="7" t="s">
        <v>476</v>
      </c>
      <c r="K240" s="7"/>
    </row>
    <row r="241" spans="1:11" s="2" customFormat="1" x14ac:dyDescent="0.2">
      <c r="A241" s="9">
        <v>10100070</v>
      </c>
      <c r="B241" s="4" t="s">
        <v>268</v>
      </c>
      <c r="C241" s="4" t="s">
        <v>8</v>
      </c>
      <c r="D241" s="5">
        <v>0</v>
      </c>
      <c r="E241" s="26"/>
      <c r="F241" s="26"/>
      <c r="G241" s="26"/>
      <c r="H241" s="26"/>
      <c r="I241" s="6">
        <v>50</v>
      </c>
      <c r="J241" s="7" t="s">
        <v>471</v>
      </c>
      <c r="K241" s="7"/>
    </row>
    <row r="242" spans="1:11" s="2" customFormat="1" x14ac:dyDescent="0.2">
      <c r="A242" s="9">
        <v>11800019</v>
      </c>
      <c r="B242" s="4" t="s">
        <v>269</v>
      </c>
      <c r="C242" s="4" t="s">
        <v>14</v>
      </c>
      <c r="D242" s="5">
        <v>19</v>
      </c>
      <c r="E242" s="26"/>
      <c r="F242" s="26">
        <f>ROUND(E242/2, 0)</f>
        <v>0</v>
      </c>
      <c r="G242" s="26">
        <f>E242-F242</f>
        <v>0</v>
      </c>
      <c r="H242" s="26" t="str">
        <f>IF(G242&lt;=0,"To Order", "Ok")</f>
        <v>To Order</v>
      </c>
      <c r="I242" s="6">
        <v>225</v>
      </c>
      <c r="J242" s="7" t="s">
        <v>476</v>
      </c>
      <c r="K242" s="7"/>
    </row>
    <row r="243" spans="1:11" s="2" customFormat="1" x14ac:dyDescent="0.2">
      <c r="A243" s="9">
        <v>10000007</v>
      </c>
      <c r="B243" s="4" t="s">
        <v>270</v>
      </c>
      <c r="C243" s="4" t="s">
        <v>16</v>
      </c>
      <c r="D243" s="5">
        <v>0</v>
      </c>
      <c r="E243" s="26"/>
      <c r="F243" s="26"/>
      <c r="G243" s="26"/>
      <c r="H243" s="26"/>
      <c r="I243" s="6">
        <v>150</v>
      </c>
      <c r="J243" s="7" t="s">
        <v>471</v>
      </c>
      <c r="K243" s="7"/>
    </row>
    <row r="244" spans="1:11" s="2" customFormat="1" x14ac:dyDescent="0.2">
      <c r="A244" s="9">
        <v>12100021</v>
      </c>
      <c r="B244" s="4" t="s">
        <v>271</v>
      </c>
      <c r="C244" s="4" t="s">
        <v>14</v>
      </c>
      <c r="D244" s="5">
        <v>6</v>
      </c>
      <c r="E244" s="26">
        <v>4</v>
      </c>
      <c r="F244" s="26">
        <f>ROUND(E244/2, 0)</f>
        <v>2</v>
      </c>
      <c r="G244" s="26">
        <f>E244-F244</f>
        <v>2</v>
      </c>
      <c r="H244" s="26" t="str">
        <f>IF(G244&lt;=0,"To Order", "Ok")</f>
        <v>Ok</v>
      </c>
      <c r="I244" s="6">
        <v>120</v>
      </c>
      <c r="J244" s="7" t="s">
        <v>476</v>
      </c>
      <c r="K244" s="7">
        <v>2</v>
      </c>
    </row>
    <row r="245" spans="1:11" s="2" customFormat="1" x14ac:dyDescent="0.2">
      <c r="A245" s="9">
        <v>10700005</v>
      </c>
      <c r="B245" s="4" t="s">
        <v>272</v>
      </c>
      <c r="C245" s="4" t="s">
        <v>16</v>
      </c>
      <c r="D245" s="5">
        <v>88</v>
      </c>
      <c r="E245" s="26">
        <v>60</v>
      </c>
      <c r="F245" s="26">
        <f>ROUND(E245/2, 0)</f>
        <v>30</v>
      </c>
      <c r="G245" s="26">
        <f>E245-F245</f>
        <v>30</v>
      </c>
      <c r="H245" s="26" t="str">
        <f>IF(G245&lt;=0,"To Order", "Ok")</f>
        <v>Ok</v>
      </c>
      <c r="I245" s="6">
        <v>106</v>
      </c>
      <c r="J245" s="7" t="s">
        <v>476</v>
      </c>
      <c r="K245" s="7">
        <v>30</v>
      </c>
    </row>
    <row r="246" spans="1:11" s="2" customFormat="1" x14ac:dyDescent="0.2">
      <c r="A246" s="9">
        <v>10100079</v>
      </c>
      <c r="B246" s="4" t="s">
        <v>273</v>
      </c>
      <c r="C246" s="4" t="s">
        <v>16</v>
      </c>
      <c r="D246" s="5">
        <v>0</v>
      </c>
      <c r="E246" s="26"/>
      <c r="F246" s="26"/>
      <c r="G246" s="26"/>
      <c r="H246" s="26"/>
      <c r="I246" s="6">
        <v>250</v>
      </c>
      <c r="J246" s="7" t="s">
        <v>471</v>
      </c>
      <c r="K246" s="7"/>
    </row>
    <row r="247" spans="1:11" s="2" customFormat="1" x14ac:dyDescent="0.2">
      <c r="A247" s="9">
        <v>10100054</v>
      </c>
      <c r="B247" s="4" t="s">
        <v>274</v>
      </c>
      <c r="C247" s="4" t="s">
        <v>8</v>
      </c>
      <c r="D247" s="5">
        <v>0</v>
      </c>
      <c r="E247" s="26"/>
      <c r="F247" s="26"/>
      <c r="G247" s="26"/>
      <c r="H247" s="26"/>
      <c r="I247" s="6">
        <v>30</v>
      </c>
      <c r="J247" s="7" t="s">
        <v>471</v>
      </c>
      <c r="K247" s="7"/>
    </row>
    <row r="248" spans="1:11" s="2" customFormat="1" x14ac:dyDescent="0.2">
      <c r="A248" s="9">
        <v>10000008</v>
      </c>
      <c r="B248" s="4" t="s">
        <v>275</v>
      </c>
      <c r="C248" s="4" t="s">
        <v>16</v>
      </c>
      <c r="D248" s="5">
        <v>0</v>
      </c>
      <c r="E248" s="26"/>
      <c r="F248" s="26"/>
      <c r="G248" s="26"/>
      <c r="H248" s="26"/>
      <c r="I248" s="6">
        <v>80</v>
      </c>
      <c r="J248" s="7" t="s">
        <v>471</v>
      </c>
      <c r="K248" s="7"/>
    </row>
    <row r="249" spans="1:11" s="2" customFormat="1" x14ac:dyDescent="0.2">
      <c r="A249" s="9">
        <v>12100003</v>
      </c>
      <c r="B249" s="4" t="s">
        <v>276</v>
      </c>
      <c r="C249" s="4" t="s">
        <v>20</v>
      </c>
      <c r="D249" s="5">
        <v>0</v>
      </c>
      <c r="E249" s="26"/>
      <c r="F249" s="26"/>
      <c r="G249" s="26"/>
      <c r="H249" s="26"/>
      <c r="I249" s="6">
        <v>200</v>
      </c>
      <c r="J249" s="7" t="s">
        <v>471</v>
      </c>
      <c r="K249" s="7"/>
    </row>
    <row r="250" spans="1:11" s="2" customFormat="1" x14ac:dyDescent="0.2">
      <c r="A250" s="9">
        <v>11100082</v>
      </c>
      <c r="B250" s="4" t="s">
        <v>277</v>
      </c>
      <c r="C250" s="4" t="s">
        <v>14</v>
      </c>
      <c r="D250" s="5">
        <v>4</v>
      </c>
      <c r="E250" s="26">
        <v>4</v>
      </c>
      <c r="F250" s="26">
        <f>ROUND(E250/2, 0)</f>
        <v>2</v>
      </c>
      <c r="G250" s="26">
        <f>E250-F250</f>
        <v>2</v>
      </c>
      <c r="H250" s="26" t="str">
        <f>IF(G250&lt;=0,"To Order", "Ok")</f>
        <v>Ok</v>
      </c>
      <c r="I250" s="6">
        <v>370</v>
      </c>
      <c r="J250" s="7" t="s">
        <v>476</v>
      </c>
      <c r="K250" s="7">
        <v>1</v>
      </c>
    </row>
    <row r="251" spans="1:11" s="2" customFormat="1" x14ac:dyDescent="0.2">
      <c r="A251" s="9">
        <v>12000008</v>
      </c>
      <c r="B251" s="4" t="s">
        <v>278</v>
      </c>
      <c r="C251" s="4" t="s">
        <v>132</v>
      </c>
      <c r="D251" s="5">
        <v>0</v>
      </c>
      <c r="E251" s="26"/>
      <c r="F251" s="26">
        <f>ROUND(E251/2, 0)</f>
        <v>0</v>
      </c>
      <c r="G251" s="26">
        <f>E251-F251</f>
        <v>0</v>
      </c>
      <c r="H251" s="26" t="str">
        <f>IF(G251&lt;=0,"To Order", "Ok")</f>
        <v>To Order</v>
      </c>
      <c r="I251" s="6">
        <v>215</v>
      </c>
      <c r="J251" s="7" t="s">
        <v>476</v>
      </c>
      <c r="K251" s="7"/>
    </row>
    <row r="252" spans="1:11" s="2" customFormat="1" x14ac:dyDescent="0.2">
      <c r="A252" s="9">
        <v>10300021</v>
      </c>
      <c r="B252" s="4" t="s">
        <v>279</v>
      </c>
      <c r="C252" s="4" t="s">
        <v>12</v>
      </c>
      <c r="D252" s="5">
        <v>0</v>
      </c>
      <c r="E252" s="26"/>
      <c r="F252" s="26"/>
      <c r="G252" s="26"/>
      <c r="H252" s="26"/>
      <c r="I252" s="6">
        <v>258.62</v>
      </c>
      <c r="J252" s="7" t="s">
        <v>472</v>
      </c>
      <c r="K252" s="7"/>
    </row>
    <row r="253" spans="1:11" s="2" customFormat="1" x14ac:dyDescent="0.2">
      <c r="A253" s="9">
        <v>10100067</v>
      </c>
      <c r="B253" s="4" t="s">
        <v>280</v>
      </c>
      <c r="C253" s="4" t="s">
        <v>8</v>
      </c>
      <c r="D253" s="5">
        <v>0</v>
      </c>
      <c r="E253" s="26"/>
      <c r="F253" s="26"/>
      <c r="G253" s="26"/>
      <c r="H253" s="26"/>
      <c r="I253" s="6">
        <v>100</v>
      </c>
      <c r="J253" s="7" t="s">
        <v>471</v>
      </c>
      <c r="K253" s="7"/>
    </row>
    <row r="254" spans="1:11" s="2" customFormat="1" x14ac:dyDescent="0.2">
      <c r="A254" s="9">
        <v>12800027</v>
      </c>
      <c r="B254" s="4" t="s">
        <v>281</v>
      </c>
      <c r="C254" s="4" t="s">
        <v>16</v>
      </c>
      <c r="D254" s="5">
        <v>0</v>
      </c>
      <c r="E254" s="26"/>
      <c r="F254" s="26"/>
      <c r="G254" s="26"/>
      <c r="H254" s="26"/>
      <c r="I254" s="6">
        <v>350</v>
      </c>
      <c r="J254" s="7" t="s">
        <v>472</v>
      </c>
      <c r="K254" s="7"/>
    </row>
    <row r="255" spans="1:11" s="2" customFormat="1" x14ac:dyDescent="0.2">
      <c r="A255" s="9">
        <v>11800030</v>
      </c>
      <c r="B255" s="4" t="s">
        <v>282</v>
      </c>
      <c r="C255" s="4" t="s">
        <v>98</v>
      </c>
      <c r="D255" s="5">
        <v>26</v>
      </c>
      <c r="E255" s="26">
        <v>14</v>
      </c>
      <c r="F255" s="26">
        <f>ROUND(E255/2, 0)</f>
        <v>7</v>
      </c>
      <c r="G255" s="26">
        <f>E255-F255</f>
        <v>7</v>
      </c>
      <c r="H255" s="26" t="str">
        <f>IF(G255&lt;=0,"To Order", "Ok")</f>
        <v>Ok</v>
      </c>
      <c r="I255" s="6">
        <v>380</v>
      </c>
      <c r="J255" s="7" t="s">
        <v>476</v>
      </c>
      <c r="K255" s="7">
        <v>8</v>
      </c>
    </row>
    <row r="256" spans="1:11" s="2" customFormat="1" x14ac:dyDescent="0.2">
      <c r="A256" s="9">
        <v>11100171</v>
      </c>
      <c r="B256" s="4" t="s">
        <v>283</v>
      </c>
      <c r="C256" s="4" t="s">
        <v>42</v>
      </c>
      <c r="D256" s="5">
        <v>8</v>
      </c>
      <c r="E256" s="26"/>
      <c r="F256" s="26">
        <f>ROUND(E256/2, 0)</f>
        <v>0</v>
      </c>
      <c r="G256" s="26">
        <f>E256-F256</f>
        <v>0</v>
      </c>
      <c r="H256" s="26" t="str">
        <f>IF(G256&lt;=0,"To Order", "Ok")</f>
        <v>To Order</v>
      </c>
      <c r="I256" s="6">
        <v>125</v>
      </c>
      <c r="J256" s="7" t="s">
        <v>476</v>
      </c>
      <c r="K256" s="7"/>
    </row>
    <row r="257" spans="1:11" s="2" customFormat="1" x14ac:dyDescent="0.2">
      <c r="A257" s="9">
        <v>10100098</v>
      </c>
      <c r="B257" s="4" t="s">
        <v>284</v>
      </c>
      <c r="C257" s="4" t="s">
        <v>8</v>
      </c>
      <c r="D257" s="5">
        <v>0</v>
      </c>
      <c r="E257" s="26"/>
      <c r="F257" s="26"/>
      <c r="G257" s="26"/>
      <c r="H257" s="26"/>
      <c r="I257" s="6">
        <v>10</v>
      </c>
      <c r="J257" s="7" t="s">
        <v>471</v>
      </c>
      <c r="K257" s="7"/>
    </row>
    <row r="258" spans="1:11" s="2" customFormat="1" x14ac:dyDescent="0.2">
      <c r="A258" s="9">
        <v>16000029</v>
      </c>
      <c r="B258" s="4" t="s">
        <v>285</v>
      </c>
      <c r="C258" s="4" t="s">
        <v>14</v>
      </c>
      <c r="D258" s="5">
        <v>0</v>
      </c>
      <c r="E258" s="26"/>
      <c r="F258" s="26"/>
      <c r="G258" s="26"/>
      <c r="H258" s="26"/>
      <c r="I258" s="6">
        <v>694</v>
      </c>
      <c r="J258" s="7" t="s">
        <v>473</v>
      </c>
      <c r="K258" s="7">
        <v>8</v>
      </c>
    </row>
    <row r="259" spans="1:11" s="2" customFormat="1" x14ac:dyDescent="0.2">
      <c r="A259" s="9">
        <v>12500010</v>
      </c>
      <c r="B259" s="4" t="s">
        <v>286</v>
      </c>
      <c r="C259" s="4" t="s">
        <v>14</v>
      </c>
      <c r="D259" s="5">
        <v>600</v>
      </c>
      <c r="E259" s="26">
        <v>1</v>
      </c>
      <c r="F259" s="26">
        <f>ROUND(E259/2, 0)</f>
        <v>1</v>
      </c>
      <c r="G259" s="26">
        <f>E259-F259</f>
        <v>0</v>
      </c>
      <c r="H259" s="26" t="str">
        <f>IF(G259&lt;=0,"To Order", "Ok")</f>
        <v>To Order</v>
      </c>
      <c r="I259" s="6">
        <v>25</v>
      </c>
      <c r="J259" s="7" t="s">
        <v>476</v>
      </c>
      <c r="K259" s="7">
        <v>2</v>
      </c>
    </row>
    <row r="260" spans="1:11" s="2" customFormat="1" x14ac:dyDescent="0.2">
      <c r="A260" s="9">
        <v>11400007</v>
      </c>
      <c r="B260" s="4" t="s">
        <v>287</v>
      </c>
      <c r="C260" s="4" t="s">
        <v>127</v>
      </c>
      <c r="D260" s="5">
        <v>7</v>
      </c>
      <c r="E260" s="26">
        <v>5</v>
      </c>
      <c r="F260" s="26">
        <f>ROUND(E260/2, 0)</f>
        <v>3</v>
      </c>
      <c r="G260" s="26">
        <f>E260-F260</f>
        <v>2</v>
      </c>
      <c r="H260" s="26" t="str">
        <f>IF(G260&lt;=0,"To Order", "Ok")</f>
        <v>Ok</v>
      </c>
      <c r="I260" s="6">
        <v>1508</v>
      </c>
      <c r="J260" s="7" t="s">
        <v>476</v>
      </c>
      <c r="K260" s="7">
        <v>2</v>
      </c>
    </row>
    <row r="261" spans="1:11" s="2" customFormat="1" x14ac:dyDescent="0.2">
      <c r="A261" s="9">
        <v>12000009</v>
      </c>
      <c r="B261" s="4" t="s">
        <v>288</v>
      </c>
      <c r="C261" s="4" t="s">
        <v>127</v>
      </c>
      <c r="D261" s="5">
        <v>6</v>
      </c>
      <c r="E261" s="26">
        <v>5</v>
      </c>
      <c r="F261" s="26">
        <f>ROUND(E261/2, 0)</f>
        <v>3</v>
      </c>
      <c r="G261" s="26">
        <f>E261-F261</f>
        <v>2</v>
      </c>
      <c r="H261" s="26" t="str">
        <f>IF(G261&lt;=0,"To Order", "Ok")</f>
        <v>Ok</v>
      </c>
      <c r="I261" s="6">
        <v>1005</v>
      </c>
      <c r="J261" s="7" t="s">
        <v>476</v>
      </c>
      <c r="K261" s="7">
        <v>2</v>
      </c>
    </row>
    <row r="262" spans="1:11" s="2" customFormat="1" x14ac:dyDescent="0.2">
      <c r="A262" s="9">
        <v>10100004</v>
      </c>
      <c r="B262" s="4" t="s">
        <v>289</v>
      </c>
      <c r="C262" s="4" t="s">
        <v>16</v>
      </c>
      <c r="D262" s="5">
        <v>0</v>
      </c>
      <c r="E262" s="26">
        <v>1</v>
      </c>
      <c r="F262" s="26">
        <f>ROUND(E262/2, 0)</f>
        <v>1</v>
      </c>
      <c r="G262" s="26">
        <f>E262-F262</f>
        <v>0</v>
      </c>
      <c r="H262" s="26" t="str">
        <f>IF(G262&lt;=0,"To Order", "Ok")</f>
        <v>To Order</v>
      </c>
      <c r="I262" s="6">
        <v>20</v>
      </c>
      <c r="J262" s="7" t="s">
        <v>476</v>
      </c>
      <c r="K262" s="7">
        <v>1</v>
      </c>
    </row>
    <row r="263" spans="1:11" s="2" customFormat="1" x14ac:dyDescent="0.2">
      <c r="A263" s="9">
        <v>10100125</v>
      </c>
      <c r="B263" s="4" t="s">
        <v>290</v>
      </c>
      <c r="C263" s="4" t="s">
        <v>8</v>
      </c>
      <c r="D263" s="5">
        <v>0</v>
      </c>
      <c r="E263" s="26"/>
      <c r="F263" s="26"/>
      <c r="G263" s="26"/>
      <c r="H263" s="26"/>
      <c r="I263" s="6">
        <v>20</v>
      </c>
      <c r="J263" s="7" t="s">
        <v>471</v>
      </c>
      <c r="K263" s="7"/>
    </row>
    <row r="264" spans="1:11" s="2" customFormat="1" x14ac:dyDescent="0.2">
      <c r="A264" s="9">
        <v>12000011</v>
      </c>
      <c r="B264" s="4" t="s">
        <v>291</v>
      </c>
      <c r="C264" s="4" t="s">
        <v>127</v>
      </c>
      <c r="D264" s="5">
        <v>3</v>
      </c>
      <c r="E264" s="26">
        <v>3</v>
      </c>
      <c r="F264" s="26">
        <f>ROUND(E264/2, 0)</f>
        <v>2</v>
      </c>
      <c r="G264" s="26">
        <f>E264-F264</f>
        <v>1</v>
      </c>
      <c r="H264" s="26" t="str">
        <f>IF(G264&lt;=0,"To Order", "Ok")</f>
        <v>Ok</v>
      </c>
      <c r="I264" s="6">
        <v>1005</v>
      </c>
      <c r="J264" s="7" t="s">
        <v>476</v>
      </c>
      <c r="K264" s="7">
        <v>1</v>
      </c>
    </row>
    <row r="265" spans="1:11" s="2" customFormat="1" x14ac:dyDescent="0.2">
      <c r="A265" s="9">
        <v>10100029</v>
      </c>
      <c r="B265" s="4" t="s">
        <v>292</v>
      </c>
      <c r="C265" s="4" t="s">
        <v>16</v>
      </c>
      <c r="D265" s="5">
        <v>0</v>
      </c>
      <c r="E265" s="26"/>
      <c r="F265" s="26"/>
      <c r="G265" s="26"/>
      <c r="H265" s="26"/>
      <c r="I265" s="6">
        <v>100</v>
      </c>
      <c r="J265" s="7" t="s">
        <v>471</v>
      </c>
      <c r="K265" s="7"/>
    </row>
    <row r="266" spans="1:11" s="2" customFormat="1" x14ac:dyDescent="0.2">
      <c r="A266" s="9">
        <v>11100043</v>
      </c>
      <c r="B266" s="4" t="s">
        <v>293</v>
      </c>
      <c r="C266" s="4" t="s">
        <v>16</v>
      </c>
      <c r="D266" s="5">
        <v>3</v>
      </c>
      <c r="E266" s="26"/>
      <c r="F266" s="26"/>
      <c r="G266" s="26"/>
      <c r="H266" s="26"/>
      <c r="I266" s="6">
        <v>795</v>
      </c>
      <c r="J266" s="7" t="s">
        <v>471</v>
      </c>
      <c r="K266" s="7"/>
    </row>
    <row r="267" spans="1:11" s="2" customFormat="1" x14ac:dyDescent="0.2">
      <c r="A267" s="9">
        <v>10300032</v>
      </c>
      <c r="B267" s="4" t="s">
        <v>294</v>
      </c>
      <c r="C267" s="4" t="s">
        <v>16</v>
      </c>
      <c r="D267" s="5">
        <v>49</v>
      </c>
      <c r="E267" s="26"/>
      <c r="F267" s="26"/>
      <c r="G267" s="26"/>
      <c r="H267" s="26"/>
      <c r="I267" s="6">
        <v>948.27585999999997</v>
      </c>
      <c r="J267" s="7" t="s">
        <v>472</v>
      </c>
      <c r="K267" s="7"/>
    </row>
    <row r="268" spans="1:11" s="2" customFormat="1" x14ac:dyDescent="0.2">
      <c r="A268" s="9">
        <v>10800070</v>
      </c>
      <c r="B268" s="4" t="s">
        <v>295</v>
      </c>
      <c r="C268" s="4" t="s">
        <v>16</v>
      </c>
      <c r="D268" s="5">
        <v>11</v>
      </c>
      <c r="E268" s="26"/>
      <c r="F268" s="26">
        <f t="shared" ref="F268:F274" si="27">ROUND(E268/2, 0)</f>
        <v>0</v>
      </c>
      <c r="G268" s="26">
        <f t="shared" ref="G268:G274" si="28">E268-F268</f>
        <v>0</v>
      </c>
      <c r="H268" s="26" t="str">
        <f t="shared" ref="H268:H274" si="29">IF(G268&lt;=0,"To Order", "Ok")</f>
        <v>To Order</v>
      </c>
      <c r="I268" s="6">
        <v>163.79310050000001</v>
      </c>
      <c r="J268" s="7" t="s">
        <v>476</v>
      </c>
      <c r="K268" s="7"/>
    </row>
    <row r="269" spans="1:11" s="2" customFormat="1" x14ac:dyDescent="0.2">
      <c r="A269" s="9">
        <v>11500003</v>
      </c>
      <c r="B269" s="4" t="s">
        <v>296</v>
      </c>
      <c r="C269" s="4" t="s">
        <v>16</v>
      </c>
      <c r="D269" s="5">
        <v>2</v>
      </c>
      <c r="E269" s="26">
        <v>2</v>
      </c>
      <c r="F269" s="26">
        <f t="shared" si="27"/>
        <v>1</v>
      </c>
      <c r="G269" s="26">
        <f t="shared" si="28"/>
        <v>1</v>
      </c>
      <c r="H269" s="26" t="str">
        <f t="shared" si="29"/>
        <v>Ok</v>
      </c>
      <c r="I269" s="6">
        <v>1800</v>
      </c>
      <c r="J269" s="7" t="s">
        <v>476</v>
      </c>
      <c r="K269" s="7">
        <v>1</v>
      </c>
    </row>
    <row r="270" spans="1:11" s="2" customFormat="1" x14ac:dyDescent="0.2">
      <c r="A270" s="9">
        <v>11300010</v>
      </c>
      <c r="B270" s="4" t="s">
        <v>297</v>
      </c>
      <c r="C270" s="4" t="s">
        <v>132</v>
      </c>
      <c r="D270" s="5">
        <v>4</v>
      </c>
      <c r="E270" s="26">
        <v>2</v>
      </c>
      <c r="F270" s="26">
        <f t="shared" si="27"/>
        <v>1</v>
      </c>
      <c r="G270" s="26">
        <f t="shared" si="28"/>
        <v>1</v>
      </c>
      <c r="H270" s="26" t="str">
        <f t="shared" si="29"/>
        <v>Ok</v>
      </c>
      <c r="I270" s="6">
        <v>650</v>
      </c>
      <c r="J270" s="7" t="s">
        <v>476</v>
      </c>
      <c r="K270" s="7">
        <v>2</v>
      </c>
    </row>
    <row r="271" spans="1:11" s="2" customFormat="1" x14ac:dyDescent="0.2">
      <c r="A271" s="9">
        <v>11100045</v>
      </c>
      <c r="B271" s="4" t="s">
        <v>298</v>
      </c>
      <c r="C271" s="4" t="s">
        <v>16</v>
      </c>
      <c r="D271" s="5">
        <v>5</v>
      </c>
      <c r="E271" s="26">
        <v>5</v>
      </c>
      <c r="F271" s="26">
        <f t="shared" si="27"/>
        <v>3</v>
      </c>
      <c r="G271" s="26">
        <f t="shared" si="28"/>
        <v>2</v>
      </c>
      <c r="H271" s="26" t="str">
        <f t="shared" si="29"/>
        <v>Ok</v>
      </c>
      <c r="I271" s="6">
        <v>420</v>
      </c>
      <c r="J271" s="7" t="s">
        <v>476</v>
      </c>
      <c r="K271" s="7">
        <v>2</v>
      </c>
    </row>
    <row r="272" spans="1:11" s="2" customFormat="1" x14ac:dyDescent="0.2">
      <c r="A272" s="9">
        <v>11100046</v>
      </c>
      <c r="B272" s="4" t="s">
        <v>299</v>
      </c>
      <c r="C272" s="4" t="s">
        <v>42</v>
      </c>
      <c r="D272" s="5">
        <v>2</v>
      </c>
      <c r="E272" s="26">
        <v>3</v>
      </c>
      <c r="F272" s="26">
        <f t="shared" si="27"/>
        <v>2</v>
      </c>
      <c r="G272" s="26">
        <f t="shared" si="28"/>
        <v>1</v>
      </c>
      <c r="H272" s="26" t="str">
        <f t="shared" si="29"/>
        <v>Ok</v>
      </c>
      <c r="I272" s="6">
        <v>165</v>
      </c>
      <c r="J272" s="7" t="s">
        <v>476</v>
      </c>
      <c r="K272" s="7">
        <v>2</v>
      </c>
    </row>
    <row r="273" spans="1:11" s="2" customFormat="1" x14ac:dyDescent="0.2">
      <c r="A273" s="9">
        <v>10600001</v>
      </c>
      <c r="B273" s="4" t="s">
        <v>300</v>
      </c>
      <c r="C273" s="4" t="s">
        <v>20</v>
      </c>
      <c r="D273" s="5">
        <v>50</v>
      </c>
      <c r="E273" s="26"/>
      <c r="F273" s="26">
        <f t="shared" si="27"/>
        <v>0</v>
      </c>
      <c r="G273" s="26">
        <f t="shared" si="28"/>
        <v>0</v>
      </c>
      <c r="H273" s="26" t="str">
        <f t="shared" si="29"/>
        <v>To Order</v>
      </c>
      <c r="I273" s="6">
        <v>170</v>
      </c>
      <c r="J273" s="7" t="s">
        <v>476</v>
      </c>
      <c r="K273" s="7"/>
    </row>
    <row r="274" spans="1:11" s="2" customFormat="1" x14ac:dyDescent="0.2">
      <c r="A274" s="9">
        <v>10600010</v>
      </c>
      <c r="B274" s="4" t="s">
        <v>301</v>
      </c>
      <c r="C274" s="4" t="s">
        <v>127</v>
      </c>
      <c r="D274" s="5">
        <v>2</v>
      </c>
      <c r="E274" s="26">
        <v>2</v>
      </c>
      <c r="F274" s="26">
        <f t="shared" si="27"/>
        <v>1</v>
      </c>
      <c r="G274" s="26">
        <f t="shared" si="28"/>
        <v>1</v>
      </c>
      <c r="H274" s="26" t="str">
        <f t="shared" si="29"/>
        <v>Ok</v>
      </c>
      <c r="I274" s="6">
        <v>1760</v>
      </c>
      <c r="J274" s="7" t="s">
        <v>476</v>
      </c>
      <c r="K274" s="7">
        <v>2</v>
      </c>
    </row>
    <row r="275" spans="1:11" s="2" customFormat="1" x14ac:dyDescent="0.2">
      <c r="A275" s="9">
        <v>12800006</v>
      </c>
      <c r="B275" s="4" t="s">
        <v>302</v>
      </c>
      <c r="C275" s="4" t="s">
        <v>16</v>
      </c>
      <c r="D275" s="5">
        <v>10.9</v>
      </c>
      <c r="E275" s="26"/>
      <c r="F275" s="26"/>
      <c r="G275" s="26"/>
      <c r="H275" s="26"/>
      <c r="I275" s="6">
        <v>850</v>
      </c>
      <c r="J275" s="7" t="s">
        <v>472</v>
      </c>
      <c r="K275" s="7"/>
    </row>
    <row r="276" spans="1:11" s="2" customFormat="1" x14ac:dyDescent="0.2">
      <c r="A276" s="9">
        <v>13300012</v>
      </c>
      <c r="B276" s="4" t="s">
        <v>303</v>
      </c>
      <c r="C276" s="4" t="s">
        <v>16</v>
      </c>
      <c r="D276" s="5">
        <v>0</v>
      </c>
      <c r="E276" s="26"/>
      <c r="F276" s="26"/>
      <c r="G276" s="26"/>
      <c r="H276" s="26"/>
      <c r="I276" s="6">
        <v>950</v>
      </c>
      <c r="J276" s="7" t="s">
        <v>472</v>
      </c>
      <c r="K276" s="7"/>
    </row>
    <row r="277" spans="1:11" s="2" customFormat="1" x14ac:dyDescent="0.2">
      <c r="A277" s="9">
        <v>13300003</v>
      </c>
      <c r="B277" s="4" t="s">
        <v>304</v>
      </c>
      <c r="C277" s="4" t="s">
        <v>16</v>
      </c>
      <c r="D277" s="5">
        <v>0</v>
      </c>
      <c r="E277" s="26"/>
      <c r="F277" s="26"/>
      <c r="G277" s="26"/>
      <c r="H277" s="26"/>
      <c r="I277" s="6">
        <v>550</v>
      </c>
      <c r="J277" s="7" t="s">
        <v>472</v>
      </c>
      <c r="K277" s="7"/>
    </row>
    <row r="278" spans="1:11" s="2" customFormat="1" x14ac:dyDescent="0.2">
      <c r="A278" s="9">
        <v>12500003</v>
      </c>
      <c r="B278" s="4" t="s">
        <v>305</v>
      </c>
      <c r="C278" s="4" t="s">
        <v>16</v>
      </c>
      <c r="D278" s="5">
        <v>4</v>
      </c>
      <c r="E278" s="26">
        <v>4</v>
      </c>
      <c r="F278" s="26">
        <f>ROUND(E278/2, 0)</f>
        <v>2</v>
      </c>
      <c r="G278" s="26">
        <f>E278-F278</f>
        <v>2</v>
      </c>
      <c r="H278" s="26" t="str">
        <f>IF(G278&lt;=0,"To Order", "Ok")</f>
        <v>Ok</v>
      </c>
      <c r="I278" s="6">
        <v>721</v>
      </c>
      <c r="J278" s="7" t="s">
        <v>476</v>
      </c>
      <c r="K278" s="7">
        <v>1</v>
      </c>
    </row>
    <row r="279" spans="1:11" s="2" customFormat="1" x14ac:dyDescent="0.2">
      <c r="A279" s="9">
        <v>11100049</v>
      </c>
      <c r="B279" s="4" t="s">
        <v>306</v>
      </c>
      <c r="C279" s="4" t="s">
        <v>42</v>
      </c>
      <c r="D279" s="5">
        <v>12</v>
      </c>
      <c r="E279" s="26">
        <v>6</v>
      </c>
      <c r="F279" s="26">
        <f>ROUND(E279/2, 0)</f>
        <v>3</v>
      </c>
      <c r="G279" s="26">
        <f>E279-F279</f>
        <v>3</v>
      </c>
      <c r="H279" s="26" t="str">
        <f>IF(G279&lt;=0,"To Order", "Ok")</f>
        <v>Ok</v>
      </c>
      <c r="I279" s="6">
        <v>450</v>
      </c>
      <c r="J279" s="7" t="s">
        <v>476</v>
      </c>
      <c r="K279" s="7">
        <v>1</v>
      </c>
    </row>
    <row r="280" spans="1:11" s="2" customFormat="1" x14ac:dyDescent="0.2">
      <c r="A280" s="9">
        <v>10800080</v>
      </c>
      <c r="B280" s="4" t="s">
        <v>307</v>
      </c>
      <c r="C280" s="4" t="s">
        <v>16</v>
      </c>
      <c r="D280" s="5">
        <v>18</v>
      </c>
      <c r="E280" s="26">
        <v>23</v>
      </c>
      <c r="F280" s="26">
        <f>ROUND(E280/2, 0)</f>
        <v>12</v>
      </c>
      <c r="G280" s="26">
        <f>E280-F280</f>
        <v>11</v>
      </c>
      <c r="H280" s="26" t="str">
        <f>IF(G280&lt;=0,"To Order", "Ok")</f>
        <v>Ok</v>
      </c>
      <c r="I280" s="6">
        <v>353.54450000000003</v>
      </c>
      <c r="J280" s="7" t="s">
        <v>476</v>
      </c>
      <c r="K280" s="7">
        <v>5</v>
      </c>
    </row>
    <row r="281" spans="1:11" s="2" customFormat="1" x14ac:dyDescent="0.2">
      <c r="A281" s="9">
        <v>10100084</v>
      </c>
      <c r="B281" s="4" t="s">
        <v>308</v>
      </c>
      <c r="C281" s="4" t="s">
        <v>16</v>
      </c>
      <c r="D281" s="5">
        <v>0</v>
      </c>
      <c r="E281" s="26"/>
      <c r="F281" s="26"/>
      <c r="G281" s="26"/>
      <c r="H281" s="26"/>
      <c r="I281" s="6">
        <v>85</v>
      </c>
      <c r="J281" s="7" t="s">
        <v>471</v>
      </c>
      <c r="K281" s="7"/>
    </row>
    <row r="282" spans="1:11" s="2" customFormat="1" x14ac:dyDescent="0.2">
      <c r="A282" s="9">
        <v>11300020</v>
      </c>
      <c r="B282" s="4" t="s">
        <v>309</v>
      </c>
      <c r="C282" s="4" t="s">
        <v>20</v>
      </c>
      <c r="D282" s="5">
        <v>0</v>
      </c>
      <c r="E282" s="26">
        <v>2</v>
      </c>
      <c r="F282" s="26">
        <f>ROUND(E282/2, 0)</f>
        <v>1</v>
      </c>
      <c r="G282" s="26">
        <f>E282-F282</f>
        <v>1</v>
      </c>
      <c r="H282" s="26" t="str">
        <f>IF(G282&lt;=0,"To Order", "Ok")</f>
        <v>Ok</v>
      </c>
      <c r="I282" s="6">
        <v>1375</v>
      </c>
      <c r="J282" s="7" t="s">
        <v>476</v>
      </c>
      <c r="K282" s="7">
        <v>2</v>
      </c>
    </row>
    <row r="283" spans="1:11" s="2" customFormat="1" x14ac:dyDescent="0.2">
      <c r="A283" s="9">
        <v>11100185</v>
      </c>
      <c r="B283" s="4" t="s">
        <v>310</v>
      </c>
      <c r="C283" s="4" t="s">
        <v>42</v>
      </c>
      <c r="D283" s="5">
        <v>2</v>
      </c>
      <c r="E283" s="26">
        <v>4</v>
      </c>
      <c r="F283" s="26">
        <f>ROUND(E283/2, 0)</f>
        <v>2</v>
      </c>
      <c r="G283" s="26">
        <f>E283-F283</f>
        <v>2</v>
      </c>
      <c r="H283" s="26" t="str">
        <f>IF(G283&lt;=0,"To Order", "Ok")</f>
        <v>Ok</v>
      </c>
      <c r="I283" s="6">
        <v>512</v>
      </c>
      <c r="J283" s="7" t="s">
        <v>476</v>
      </c>
      <c r="K283" s="7">
        <v>1</v>
      </c>
    </row>
    <row r="284" spans="1:11" s="2" customFormat="1" x14ac:dyDescent="0.2">
      <c r="A284" s="9">
        <v>10100069</v>
      </c>
      <c r="B284" s="4" t="s">
        <v>311</v>
      </c>
      <c r="C284" s="4" t="s">
        <v>16</v>
      </c>
      <c r="D284" s="5">
        <v>0</v>
      </c>
      <c r="E284" s="26"/>
      <c r="F284" s="26"/>
      <c r="G284" s="26"/>
      <c r="H284" s="26"/>
      <c r="I284" s="6">
        <v>180</v>
      </c>
      <c r="J284" s="7" t="s">
        <v>471</v>
      </c>
      <c r="K284" s="7"/>
    </row>
    <row r="285" spans="1:11" s="2" customFormat="1" x14ac:dyDescent="0.2">
      <c r="A285" s="9">
        <v>12100005</v>
      </c>
      <c r="B285" s="4" t="s">
        <v>312</v>
      </c>
      <c r="C285" s="4" t="s">
        <v>20</v>
      </c>
      <c r="D285" s="5">
        <v>0</v>
      </c>
      <c r="E285" s="26"/>
      <c r="F285" s="26"/>
      <c r="G285" s="26"/>
      <c r="H285" s="26"/>
      <c r="I285" s="6">
        <v>200</v>
      </c>
      <c r="J285" s="7" t="s">
        <v>471</v>
      </c>
      <c r="K285" s="7"/>
    </row>
    <row r="286" spans="1:11" s="2" customFormat="1" x14ac:dyDescent="0.2">
      <c r="A286" s="9">
        <v>10000034</v>
      </c>
      <c r="B286" s="4" t="s">
        <v>313</v>
      </c>
      <c r="C286" s="4" t="s">
        <v>16</v>
      </c>
      <c r="D286" s="5">
        <v>0</v>
      </c>
      <c r="E286" s="26"/>
      <c r="F286" s="26"/>
      <c r="G286" s="26"/>
      <c r="H286" s="26"/>
      <c r="I286" s="6">
        <v>240</v>
      </c>
      <c r="J286" s="7" t="s">
        <v>471</v>
      </c>
      <c r="K286" s="7"/>
    </row>
    <row r="287" spans="1:11" s="2" customFormat="1" x14ac:dyDescent="0.2">
      <c r="A287" s="9">
        <v>10000009</v>
      </c>
      <c r="B287" s="4" t="s">
        <v>314</v>
      </c>
      <c r="C287" s="4" t="s">
        <v>16</v>
      </c>
      <c r="D287" s="5">
        <v>0</v>
      </c>
      <c r="E287" s="26"/>
      <c r="F287" s="26"/>
      <c r="G287" s="26"/>
      <c r="H287" s="26"/>
      <c r="I287" s="6">
        <v>240</v>
      </c>
      <c r="J287" s="7" t="s">
        <v>471</v>
      </c>
      <c r="K287" s="7"/>
    </row>
    <row r="288" spans="1:11" s="2" customFormat="1" x14ac:dyDescent="0.2">
      <c r="A288" s="9">
        <v>11800022</v>
      </c>
      <c r="B288" s="4" t="s">
        <v>315</v>
      </c>
      <c r="C288" s="4" t="s">
        <v>14</v>
      </c>
      <c r="D288" s="5">
        <v>2</v>
      </c>
      <c r="E288" s="26">
        <v>23</v>
      </c>
      <c r="F288" s="26">
        <f>ROUND(E288/2, 0)</f>
        <v>12</v>
      </c>
      <c r="G288" s="26">
        <f>E288-F288</f>
        <v>11</v>
      </c>
      <c r="H288" s="26" t="str">
        <f>IF(G288&lt;=0,"To Order", "Ok")</f>
        <v>Ok</v>
      </c>
      <c r="I288" s="6">
        <v>195</v>
      </c>
      <c r="J288" s="7" t="s">
        <v>476</v>
      </c>
      <c r="K288" s="7">
        <v>7</v>
      </c>
    </row>
    <row r="289" spans="1:11" s="2" customFormat="1" x14ac:dyDescent="0.2">
      <c r="A289" s="9">
        <v>10100081</v>
      </c>
      <c r="B289" s="4" t="s">
        <v>316</v>
      </c>
      <c r="C289" s="4" t="s">
        <v>8</v>
      </c>
      <c r="D289" s="5">
        <v>0</v>
      </c>
      <c r="E289" s="26"/>
      <c r="F289" s="26"/>
      <c r="G289" s="26"/>
      <c r="H289" s="26"/>
      <c r="I289" s="6">
        <v>10</v>
      </c>
      <c r="J289" s="7" t="s">
        <v>471</v>
      </c>
      <c r="K289" s="7"/>
    </row>
    <row r="290" spans="1:11" s="2" customFormat="1" x14ac:dyDescent="0.2">
      <c r="A290" s="9">
        <v>10300033</v>
      </c>
      <c r="B290" s="4" t="s">
        <v>317</v>
      </c>
      <c r="C290" s="4" t="s">
        <v>16</v>
      </c>
      <c r="D290" s="5">
        <v>24</v>
      </c>
      <c r="E290" s="26"/>
      <c r="F290" s="26"/>
      <c r="G290" s="26"/>
      <c r="H290" s="26"/>
      <c r="I290" s="6">
        <v>600</v>
      </c>
      <c r="J290" s="7" t="s">
        <v>472</v>
      </c>
      <c r="K290" s="7"/>
    </row>
    <row r="291" spans="1:11" s="2" customFormat="1" x14ac:dyDescent="0.2">
      <c r="A291" s="9">
        <v>11100187</v>
      </c>
      <c r="B291" s="4" t="s">
        <v>318</v>
      </c>
      <c r="C291" s="4" t="s">
        <v>16</v>
      </c>
      <c r="D291" s="5">
        <v>0</v>
      </c>
      <c r="E291" s="26"/>
      <c r="F291" s="26"/>
      <c r="G291" s="26"/>
      <c r="H291" s="26"/>
      <c r="I291" s="6">
        <v>163.79300000000001</v>
      </c>
      <c r="J291" s="7" t="s">
        <v>472</v>
      </c>
      <c r="K291" s="7"/>
    </row>
    <row r="292" spans="1:11" s="2" customFormat="1" x14ac:dyDescent="0.2">
      <c r="A292" s="9">
        <v>10800023</v>
      </c>
      <c r="B292" s="4" t="s">
        <v>319</v>
      </c>
      <c r="C292" s="4" t="s">
        <v>12</v>
      </c>
      <c r="D292" s="5">
        <v>7</v>
      </c>
      <c r="E292" s="26">
        <v>7</v>
      </c>
      <c r="F292" s="26">
        <f>ROUND(E292/2, 0)</f>
        <v>4</v>
      </c>
      <c r="G292" s="26">
        <f>E292-F292</f>
        <v>3</v>
      </c>
      <c r="H292" s="26" t="str">
        <f>IF(G292&lt;=0,"To Order", "Ok")</f>
        <v>Ok</v>
      </c>
      <c r="I292" s="6">
        <v>920</v>
      </c>
      <c r="J292" s="7" t="s">
        <v>476</v>
      </c>
      <c r="K292" s="7">
        <v>2</v>
      </c>
    </row>
    <row r="293" spans="1:11" s="2" customFormat="1" x14ac:dyDescent="0.2">
      <c r="A293" s="9">
        <v>10800064</v>
      </c>
      <c r="B293" s="4" t="s">
        <v>320</v>
      </c>
      <c r="C293" s="4" t="s">
        <v>14</v>
      </c>
      <c r="D293" s="5">
        <v>0</v>
      </c>
      <c r="E293" s="26">
        <v>7</v>
      </c>
      <c r="F293" s="26">
        <f>ROUND(E293/2, 0)</f>
        <v>4</v>
      </c>
      <c r="G293" s="26">
        <f>E293-F293</f>
        <v>3</v>
      </c>
      <c r="H293" s="26" t="str">
        <f>IF(G293&lt;=0,"To Order", "Ok")</f>
        <v>Ok</v>
      </c>
      <c r="I293" s="6">
        <v>194</v>
      </c>
      <c r="J293" s="7" t="s">
        <v>476</v>
      </c>
      <c r="K293" s="7">
        <v>2</v>
      </c>
    </row>
    <row r="294" spans="1:11" s="2" customFormat="1" x14ac:dyDescent="0.2">
      <c r="A294" s="9">
        <v>10300018</v>
      </c>
      <c r="B294" s="4" t="s">
        <v>321</v>
      </c>
      <c r="C294" s="4" t="s">
        <v>16</v>
      </c>
      <c r="D294" s="5">
        <v>0</v>
      </c>
      <c r="E294" s="26"/>
      <c r="F294" s="26"/>
      <c r="G294" s="26"/>
      <c r="H294" s="26"/>
      <c r="I294" s="6">
        <v>2590</v>
      </c>
      <c r="J294" s="7" t="s">
        <v>472</v>
      </c>
      <c r="K294" s="7"/>
    </row>
    <row r="295" spans="1:11" s="2" customFormat="1" x14ac:dyDescent="0.2">
      <c r="A295" s="9">
        <v>10000010</v>
      </c>
      <c r="B295" s="4" t="s">
        <v>322</v>
      </c>
      <c r="C295" s="4" t="s">
        <v>16</v>
      </c>
      <c r="D295" s="5">
        <v>0</v>
      </c>
      <c r="E295" s="26"/>
      <c r="F295" s="26"/>
      <c r="G295" s="26"/>
      <c r="H295" s="26"/>
      <c r="I295" s="6">
        <v>180</v>
      </c>
      <c r="J295" s="7" t="s">
        <v>471</v>
      </c>
      <c r="K295" s="7"/>
    </row>
    <row r="296" spans="1:11" s="2" customFormat="1" x14ac:dyDescent="0.2">
      <c r="A296" s="9">
        <v>12100004</v>
      </c>
      <c r="B296" s="4" t="s">
        <v>323</v>
      </c>
      <c r="C296" s="4" t="s">
        <v>20</v>
      </c>
      <c r="D296" s="5">
        <v>0</v>
      </c>
      <c r="E296" s="26"/>
      <c r="F296" s="26"/>
      <c r="G296" s="26"/>
      <c r="H296" s="26"/>
      <c r="I296" s="6">
        <v>200</v>
      </c>
      <c r="J296" s="7" t="s">
        <v>471</v>
      </c>
      <c r="K296" s="7"/>
    </row>
    <row r="297" spans="1:11" s="2" customFormat="1" x14ac:dyDescent="0.2">
      <c r="A297" s="9">
        <v>19200001</v>
      </c>
      <c r="B297" s="4" t="s">
        <v>324</v>
      </c>
      <c r="C297" s="4" t="s">
        <v>16</v>
      </c>
      <c r="D297" s="5">
        <v>17</v>
      </c>
      <c r="E297" s="26">
        <v>11</v>
      </c>
      <c r="F297" s="26">
        <f>ROUND(E297/2, 0)</f>
        <v>6</v>
      </c>
      <c r="G297" s="26">
        <f>E297-F297</f>
        <v>5</v>
      </c>
      <c r="H297" s="26" t="str">
        <f>IF(G297&lt;=0,"To Order", "Ok")</f>
        <v>Ok</v>
      </c>
      <c r="I297" s="6">
        <v>140</v>
      </c>
      <c r="J297" s="7" t="s">
        <v>476</v>
      </c>
      <c r="K297" s="7">
        <v>3</v>
      </c>
    </row>
    <row r="298" spans="1:11" s="2" customFormat="1" x14ac:dyDescent="0.2">
      <c r="A298" s="9">
        <v>19200004</v>
      </c>
      <c r="B298" s="4" t="s">
        <v>325</v>
      </c>
      <c r="C298" s="4" t="s">
        <v>14</v>
      </c>
      <c r="D298" s="5">
        <v>1</v>
      </c>
      <c r="E298" s="26">
        <v>1</v>
      </c>
      <c r="F298" s="26">
        <f>ROUND(E298/2, 0)</f>
        <v>1</v>
      </c>
      <c r="G298" s="26">
        <f>E298-F298</f>
        <v>0</v>
      </c>
      <c r="H298" s="26" t="str">
        <f>IF(G298&lt;=0,"To Order", "Ok")</f>
        <v>To Order</v>
      </c>
      <c r="I298" s="6">
        <v>370</v>
      </c>
      <c r="J298" s="7" t="s">
        <v>476</v>
      </c>
      <c r="K298" s="7">
        <v>1</v>
      </c>
    </row>
    <row r="299" spans="1:11" s="2" customFormat="1" x14ac:dyDescent="0.2">
      <c r="A299" s="9">
        <v>19200002</v>
      </c>
      <c r="B299" s="4" t="s">
        <v>326</v>
      </c>
      <c r="C299" s="4" t="s">
        <v>16</v>
      </c>
      <c r="D299" s="5">
        <v>13</v>
      </c>
      <c r="E299" s="26">
        <v>5</v>
      </c>
      <c r="F299" s="26">
        <f>ROUND(E299/2, 0)</f>
        <v>3</v>
      </c>
      <c r="G299" s="26">
        <f>E299-F299</f>
        <v>2</v>
      </c>
      <c r="H299" s="26" t="str">
        <f>IF(G299&lt;=0,"To Order", "Ok")</f>
        <v>Ok</v>
      </c>
      <c r="I299" s="6">
        <v>140</v>
      </c>
      <c r="J299" s="7" t="s">
        <v>476</v>
      </c>
      <c r="K299" s="7">
        <v>5</v>
      </c>
    </row>
    <row r="300" spans="1:11" s="2" customFormat="1" x14ac:dyDescent="0.2">
      <c r="A300" s="9">
        <v>19200003</v>
      </c>
      <c r="B300" s="4" t="s">
        <v>327</v>
      </c>
      <c r="C300" s="4" t="s">
        <v>42</v>
      </c>
      <c r="D300" s="5">
        <v>15.2</v>
      </c>
      <c r="E300" s="26">
        <v>11</v>
      </c>
      <c r="F300" s="26">
        <f>ROUND(E300/2, 0)</f>
        <v>6</v>
      </c>
      <c r="G300" s="26">
        <f>E300-F300</f>
        <v>5</v>
      </c>
      <c r="H300" s="26" t="str">
        <f>IF(G300&lt;=0,"To Order", "Ok")</f>
        <v>Ok</v>
      </c>
      <c r="I300" s="6">
        <v>212.5</v>
      </c>
      <c r="J300" s="7" t="s">
        <v>476</v>
      </c>
      <c r="K300" s="7">
        <v>8</v>
      </c>
    </row>
    <row r="301" spans="1:11" s="2" customFormat="1" x14ac:dyDescent="0.2">
      <c r="A301" s="9">
        <v>10200002</v>
      </c>
      <c r="B301" s="4" t="s">
        <v>328</v>
      </c>
      <c r="C301" s="4" t="s">
        <v>16</v>
      </c>
      <c r="D301" s="5">
        <v>30</v>
      </c>
      <c r="E301" s="26">
        <v>3</v>
      </c>
      <c r="F301" s="26">
        <f>ROUND(E301/2, 0)</f>
        <v>2</v>
      </c>
      <c r="G301" s="26">
        <f>E301-F301</f>
        <v>1</v>
      </c>
      <c r="H301" s="26" t="str">
        <f>IF(G301&lt;=0,"To Order", "Ok")</f>
        <v>Ok</v>
      </c>
      <c r="I301" s="6">
        <v>486.5</v>
      </c>
      <c r="J301" s="7" t="s">
        <v>476</v>
      </c>
      <c r="K301" s="7">
        <v>2</v>
      </c>
    </row>
    <row r="302" spans="1:11" s="2" customFormat="1" x14ac:dyDescent="0.2">
      <c r="A302" s="9">
        <v>10000035</v>
      </c>
      <c r="B302" s="4" t="s">
        <v>329</v>
      </c>
      <c r="C302" s="4" t="s">
        <v>16</v>
      </c>
      <c r="D302" s="5">
        <v>0</v>
      </c>
      <c r="E302" s="26"/>
      <c r="F302" s="26"/>
      <c r="G302" s="26"/>
      <c r="H302" s="26"/>
      <c r="I302" s="6">
        <v>150</v>
      </c>
      <c r="J302" s="7" t="s">
        <v>471</v>
      </c>
      <c r="K302" s="7"/>
    </row>
    <row r="303" spans="1:11" s="2" customFormat="1" x14ac:dyDescent="0.2">
      <c r="A303" s="9">
        <v>10000022</v>
      </c>
      <c r="B303" s="4" t="s">
        <v>330</v>
      </c>
      <c r="C303" s="4" t="s">
        <v>199</v>
      </c>
      <c r="D303" s="5">
        <v>0</v>
      </c>
      <c r="E303" s="26"/>
      <c r="F303" s="26"/>
      <c r="G303" s="26"/>
      <c r="H303" s="26"/>
      <c r="I303" s="6">
        <v>0.185</v>
      </c>
      <c r="J303" s="7" t="s">
        <v>471</v>
      </c>
      <c r="K303" s="7"/>
    </row>
    <row r="304" spans="1:11" s="2" customFormat="1" x14ac:dyDescent="0.2">
      <c r="A304" s="9">
        <v>12500001</v>
      </c>
      <c r="B304" s="4" t="s">
        <v>331</v>
      </c>
      <c r="C304" s="4" t="s">
        <v>332</v>
      </c>
      <c r="D304" s="5">
        <v>8.5714285714285712</v>
      </c>
      <c r="E304" s="26">
        <v>3</v>
      </c>
      <c r="F304" s="26">
        <f>ROUND(E304/2, 0)</f>
        <v>2</v>
      </c>
      <c r="G304" s="26">
        <f>E304-F304</f>
        <v>1</v>
      </c>
      <c r="H304" s="26" t="str">
        <f>IF(G304&lt;=0,"To Order", "Ok")</f>
        <v>Ok</v>
      </c>
      <c r="I304" s="6">
        <v>73.5</v>
      </c>
      <c r="J304" s="7" t="s">
        <v>476</v>
      </c>
      <c r="K304" s="7">
        <v>2</v>
      </c>
    </row>
    <row r="305" spans="1:11" s="2" customFormat="1" x14ac:dyDescent="0.2">
      <c r="A305" s="9">
        <v>11500005</v>
      </c>
      <c r="B305" s="4" t="s">
        <v>333</v>
      </c>
      <c r="C305" s="4" t="s">
        <v>16</v>
      </c>
      <c r="D305" s="5">
        <v>2</v>
      </c>
      <c r="E305" s="26">
        <v>5</v>
      </c>
      <c r="F305" s="26">
        <f>ROUND(E305/2, 0)</f>
        <v>3</v>
      </c>
      <c r="G305" s="26">
        <f>E305-F305</f>
        <v>2</v>
      </c>
      <c r="H305" s="26" t="str">
        <f>IF(G305&lt;=0,"To Order", "Ok")</f>
        <v>Ok</v>
      </c>
      <c r="I305" s="6">
        <v>462</v>
      </c>
      <c r="J305" s="7" t="s">
        <v>476</v>
      </c>
      <c r="K305" s="7">
        <v>4</v>
      </c>
    </row>
    <row r="306" spans="1:11" s="2" customFormat="1" x14ac:dyDescent="0.2">
      <c r="A306" s="9">
        <v>10900004</v>
      </c>
      <c r="B306" s="4" t="s">
        <v>334</v>
      </c>
      <c r="C306" s="4" t="s">
        <v>98</v>
      </c>
      <c r="D306" s="5">
        <v>59.5</v>
      </c>
      <c r="E306" s="26">
        <f>12*2.55</f>
        <v>30.599999999999998</v>
      </c>
      <c r="F306" s="26">
        <f>ROUND(E306/2, 0)</f>
        <v>15</v>
      </c>
      <c r="G306" s="26">
        <f>E306-F306</f>
        <v>15.599999999999998</v>
      </c>
      <c r="H306" s="26" t="str">
        <f>IF(G306&lt;=0,"To Order", "Ok")</f>
        <v>Ok</v>
      </c>
      <c r="I306" s="6">
        <v>506</v>
      </c>
      <c r="J306" s="7" t="s">
        <v>476</v>
      </c>
      <c r="K306" s="7">
        <v>20</v>
      </c>
    </row>
    <row r="307" spans="1:11" s="2" customFormat="1" x14ac:dyDescent="0.2">
      <c r="A307" s="9">
        <v>10100059</v>
      </c>
      <c r="B307" s="4" t="s">
        <v>335</v>
      </c>
      <c r="C307" s="4" t="s">
        <v>42</v>
      </c>
      <c r="D307" s="5">
        <v>0</v>
      </c>
      <c r="E307" s="26"/>
      <c r="F307" s="26">
        <f>ROUND(E307/2, 0)</f>
        <v>0</v>
      </c>
      <c r="G307" s="26">
        <f>E307-F307</f>
        <v>0</v>
      </c>
      <c r="H307" s="26" t="str">
        <f>IF(G307&lt;=0,"To Order", "Ok")</f>
        <v>To Order</v>
      </c>
      <c r="I307" s="6">
        <v>107.5</v>
      </c>
      <c r="J307" s="7" t="s">
        <v>476</v>
      </c>
      <c r="K307" s="7"/>
    </row>
    <row r="308" spans="1:11" s="2" customFormat="1" x14ac:dyDescent="0.2">
      <c r="A308" s="9">
        <v>10000021</v>
      </c>
      <c r="B308" s="4" t="s">
        <v>336</v>
      </c>
      <c r="C308" s="4" t="s">
        <v>42</v>
      </c>
      <c r="D308" s="5">
        <v>0</v>
      </c>
      <c r="E308" s="26">
        <v>5</v>
      </c>
      <c r="F308" s="26">
        <f>ROUND(E308/2, 0)</f>
        <v>3</v>
      </c>
      <c r="G308" s="26">
        <f>E308-F308</f>
        <v>2</v>
      </c>
      <c r="H308" s="26" t="str">
        <f>IF(G308&lt;=0,"To Order", "Ok")</f>
        <v>Ok</v>
      </c>
      <c r="I308" s="6">
        <v>122.5</v>
      </c>
      <c r="J308" s="7" t="s">
        <v>476</v>
      </c>
      <c r="K308" s="7">
        <v>2</v>
      </c>
    </row>
    <row r="309" spans="1:11" s="2" customFormat="1" x14ac:dyDescent="0.2">
      <c r="A309" s="9">
        <v>10000011</v>
      </c>
      <c r="B309" s="4" t="s">
        <v>337</v>
      </c>
      <c r="C309" s="4" t="s">
        <v>16</v>
      </c>
      <c r="D309" s="5">
        <v>0</v>
      </c>
      <c r="E309" s="26"/>
      <c r="F309" s="26"/>
      <c r="G309" s="26"/>
      <c r="H309" s="26"/>
      <c r="I309" s="6">
        <v>50</v>
      </c>
      <c r="J309" s="7" t="s">
        <v>471</v>
      </c>
      <c r="K309" s="7"/>
    </row>
    <row r="310" spans="1:11" s="2" customFormat="1" x14ac:dyDescent="0.2">
      <c r="A310" s="9">
        <v>10400005</v>
      </c>
      <c r="B310" s="4" t="s">
        <v>338</v>
      </c>
      <c r="C310" s="4" t="s">
        <v>20</v>
      </c>
      <c r="D310" s="5">
        <v>8</v>
      </c>
      <c r="E310" s="26"/>
      <c r="F310" s="26"/>
      <c r="G310" s="26"/>
      <c r="H310" s="26"/>
      <c r="I310" s="6">
        <v>219.83501100000001</v>
      </c>
      <c r="J310" s="7" t="s">
        <v>472</v>
      </c>
      <c r="K310" s="7">
        <v>3</v>
      </c>
    </row>
    <row r="311" spans="1:11" s="2" customFormat="1" x14ac:dyDescent="0.2">
      <c r="A311" s="9">
        <v>100100003</v>
      </c>
      <c r="B311" s="4" t="s">
        <v>339</v>
      </c>
      <c r="C311" s="4" t="s">
        <v>14</v>
      </c>
      <c r="D311" s="5">
        <v>0</v>
      </c>
      <c r="E311" s="26"/>
      <c r="F311" s="26"/>
      <c r="G311" s="26"/>
      <c r="H311" s="26"/>
      <c r="I311" s="6">
        <v>51.723999999999997</v>
      </c>
      <c r="J311" s="7" t="s">
        <v>473</v>
      </c>
      <c r="K311" s="7"/>
    </row>
    <row r="312" spans="1:11" s="2" customFormat="1" x14ac:dyDescent="0.2">
      <c r="A312" s="9">
        <v>10100049</v>
      </c>
      <c r="B312" s="4" t="s">
        <v>340</v>
      </c>
      <c r="C312" s="4" t="s">
        <v>16</v>
      </c>
      <c r="D312" s="5">
        <v>0</v>
      </c>
      <c r="E312" s="26"/>
      <c r="F312" s="26"/>
      <c r="G312" s="26"/>
      <c r="H312" s="26"/>
      <c r="I312" s="6">
        <v>500</v>
      </c>
      <c r="J312" s="7" t="s">
        <v>471</v>
      </c>
      <c r="K312" s="7"/>
    </row>
    <row r="313" spans="1:11" s="2" customFormat="1" x14ac:dyDescent="0.2">
      <c r="A313" s="9">
        <v>11200016</v>
      </c>
      <c r="B313" s="4" t="s">
        <v>341</v>
      </c>
      <c r="C313" s="4" t="s">
        <v>16</v>
      </c>
      <c r="D313" s="5">
        <v>20</v>
      </c>
      <c r="E313" s="26">
        <v>21</v>
      </c>
      <c r="F313" s="26">
        <f>ROUND(E313/2, 0)</f>
        <v>11</v>
      </c>
      <c r="G313" s="26">
        <f>E313-F313</f>
        <v>10</v>
      </c>
      <c r="H313" s="26" t="str">
        <f>IF(G313&lt;=0,"To Order", "Ok")</f>
        <v>Ok</v>
      </c>
      <c r="I313" s="6">
        <v>256</v>
      </c>
      <c r="J313" s="7" t="s">
        <v>476</v>
      </c>
      <c r="K313" s="7">
        <v>2</v>
      </c>
    </row>
    <row r="314" spans="1:11" s="2" customFormat="1" x14ac:dyDescent="0.2">
      <c r="A314" s="9">
        <v>11100201</v>
      </c>
      <c r="B314" s="4" t="s">
        <v>342</v>
      </c>
      <c r="C314" s="4" t="s">
        <v>14</v>
      </c>
      <c r="D314" s="5">
        <v>2</v>
      </c>
      <c r="E314" s="26"/>
      <c r="F314" s="26">
        <f>ROUND(E314/2, 0)</f>
        <v>0</v>
      </c>
      <c r="G314" s="26">
        <f>E314-F314</f>
        <v>0</v>
      </c>
      <c r="H314" s="26" t="str">
        <f>IF(G314&lt;=0,"To Order", "Ok")</f>
        <v>To Order</v>
      </c>
      <c r="I314" s="6">
        <v>750</v>
      </c>
      <c r="J314" s="7" t="s">
        <v>476</v>
      </c>
      <c r="K314" s="7"/>
    </row>
    <row r="315" spans="1:11" s="2" customFormat="1" x14ac:dyDescent="0.2">
      <c r="A315" s="9">
        <v>10100030</v>
      </c>
      <c r="B315" s="4" t="s">
        <v>343</v>
      </c>
      <c r="C315" s="4" t="s">
        <v>16</v>
      </c>
      <c r="D315" s="5">
        <v>0</v>
      </c>
      <c r="E315" s="26"/>
      <c r="F315" s="26"/>
      <c r="G315" s="26"/>
      <c r="H315" s="26"/>
      <c r="I315" s="6">
        <v>60</v>
      </c>
      <c r="J315" s="7" t="s">
        <v>471</v>
      </c>
      <c r="K315" s="7"/>
    </row>
    <row r="316" spans="1:11" s="2" customFormat="1" x14ac:dyDescent="0.2">
      <c r="A316" s="9">
        <v>13300009</v>
      </c>
      <c r="B316" s="4" t="s">
        <v>344</v>
      </c>
      <c r="C316" s="4" t="s">
        <v>16</v>
      </c>
      <c r="D316" s="5">
        <v>0</v>
      </c>
      <c r="E316" s="26"/>
      <c r="F316" s="26"/>
      <c r="G316" s="26"/>
      <c r="H316" s="26"/>
      <c r="I316" s="6">
        <v>3300</v>
      </c>
      <c r="J316" s="7" t="s">
        <v>472</v>
      </c>
      <c r="K316" s="7"/>
    </row>
    <row r="317" spans="1:11" s="2" customFormat="1" x14ac:dyDescent="0.2">
      <c r="A317" s="9">
        <v>10100031</v>
      </c>
      <c r="B317" s="4" t="s">
        <v>345</v>
      </c>
      <c r="C317" s="4" t="s">
        <v>16</v>
      </c>
      <c r="D317" s="5">
        <v>0</v>
      </c>
      <c r="E317" s="26"/>
      <c r="F317" s="26"/>
      <c r="G317" s="26"/>
      <c r="H317" s="26"/>
      <c r="I317" s="6">
        <v>170</v>
      </c>
      <c r="J317" s="7" t="s">
        <v>471</v>
      </c>
      <c r="K317" s="7"/>
    </row>
    <row r="318" spans="1:11" s="2" customFormat="1" x14ac:dyDescent="0.2">
      <c r="A318" s="9">
        <v>11200019</v>
      </c>
      <c r="B318" s="4" t="s">
        <v>346</v>
      </c>
      <c r="C318" s="4" t="s">
        <v>42</v>
      </c>
      <c r="D318" s="5">
        <v>10</v>
      </c>
      <c r="E318" s="26">
        <v>6</v>
      </c>
      <c r="F318" s="26">
        <f>ROUND(E318/2, 0)</f>
        <v>3</v>
      </c>
      <c r="G318" s="26">
        <f>E318-F318</f>
        <v>3</v>
      </c>
      <c r="H318" s="26" t="str">
        <f>IF(G318&lt;=0,"To Order", "Ok")</f>
        <v>Ok</v>
      </c>
      <c r="I318" s="6">
        <v>250</v>
      </c>
      <c r="J318" s="7" t="s">
        <v>476</v>
      </c>
      <c r="K318" s="7">
        <v>3</v>
      </c>
    </row>
    <row r="319" spans="1:11" s="2" customFormat="1" x14ac:dyDescent="0.2">
      <c r="A319" s="9">
        <v>11100055</v>
      </c>
      <c r="B319" s="4" t="s">
        <v>347</v>
      </c>
      <c r="C319" s="4" t="s">
        <v>16</v>
      </c>
      <c r="D319" s="5">
        <v>6</v>
      </c>
      <c r="E319" s="26">
        <v>6</v>
      </c>
      <c r="F319" s="26">
        <f>ROUND(E319/2, 0)</f>
        <v>3</v>
      </c>
      <c r="G319" s="26">
        <f>E319-F319</f>
        <v>3</v>
      </c>
      <c r="H319" s="26" t="str">
        <f>IF(G319&lt;=0,"To Order", "Ok")</f>
        <v>Ok</v>
      </c>
      <c r="I319" s="6">
        <v>1495</v>
      </c>
      <c r="J319" s="7" t="s">
        <v>476</v>
      </c>
      <c r="K319" s="7">
        <v>2</v>
      </c>
    </row>
    <row r="320" spans="1:11" s="2" customFormat="1" x14ac:dyDescent="0.2">
      <c r="A320" s="9">
        <v>10100080</v>
      </c>
      <c r="B320" s="4" t="s">
        <v>348</v>
      </c>
      <c r="C320" s="4" t="s">
        <v>16</v>
      </c>
      <c r="D320" s="5">
        <v>0</v>
      </c>
      <c r="E320" s="26"/>
      <c r="F320" s="26"/>
      <c r="G320" s="26"/>
      <c r="H320" s="26"/>
      <c r="I320" s="6">
        <v>60</v>
      </c>
      <c r="J320" s="7" t="s">
        <v>471</v>
      </c>
      <c r="K320" s="7"/>
    </row>
    <row r="321" spans="1:11" s="2" customFormat="1" x14ac:dyDescent="0.2">
      <c r="A321" s="9">
        <v>11500006</v>
      </c>
      <c r="B321" s="4" t="s">
        <v>349</v>
      </c>
      <c r="C321" s="4" t="s">
        <v>16</v>
      </c>
      <c r="D321" s="5">
        <v>0</v>
      </c>
      <c r="E321" s="26"/>
      <c r="F321" s="26">
        <f>ROUND(E321/2, 0)</f>
        <v>0</v>
      </c>
      <c r="G321" s="26">
        <f>E321-F321</f>
        <v>0</v>
      </c>
      <c r="H321" s="26" t="str">
        <f>IF(G321&lt;=0,"To Order", "Ok")</f>
        <v>To Order</v>
      </c>
      <c r="I321" s="6">
        <v>1790</v>
      </c>
      <c r="J321" s="7" t="s">
        <v>476</v>
      </c>
      <c r="K321" s="7"/>
    </row>
    <row r="322" spans="1:11" s="2" customFormat="1" x14ac:dyDescent="0.2">
      <c r="A322" s="9">
        <v>13300010</v>
      </c>
      <c r="B322" s="4" t="s">
        <v>350</v>
      </c>
      <c r="C322" s="4" t="s">
        <v>16</v>
      </c>
      <c r="D322" s="5">
        <v>4</v>
      </c>
      <c r="E322" s="26"/>
      <c r="F322" s="26"/>
      <c r="G322" s="26"/>
      <c r="H322" s="26"/>
      <c r="I322" s="6">
        <v>2000</v>
      </c>
      <c r="J322" s="7" t="s">
        <v>472</v>
      </c>
      <c r="K322" s="7"/>
    </row>
    <row r="323" spans="1:11" s="2" customFormat="1" x14ac:dyDescent="0.2">
      <c r="A323" s="9">
        <v>13600041</v>
      </c>
      <c r="B323" s="4" t="s">
        <v>351</v>
      </c>
      <c r="C323" s="4" t="s">
        <v>14</v>
      </c>
      <c r="D323" s="5">
        <v>0</v>
      </c>
      <c r="E323" s="26"/>
      <c r="F323" s="26">
        <f>ROUND(E323/2, 0)</f>
        <v>0</v>
      </c>
      <c r="G323" s="26">
        <f>E323-F323</f>
        <v>0</v>
      </c>
      <c r="H323" s="26" t="str">
        <f>IF(G323&lt;=0,"To Order", "Ok")</f>
        <v>To Order</v>
      </c>
      <c r="I323" s="6">
        <v>635</v>
      </c>
      <c r="J323" s="7" t="s">
        <v>476</v>
      </c>
      <c r="K323" s="7"/>
    </row>
    <row r="324" spans="1:11" s="2" customFormat="1" x14ac:dyDescent="0.2">
      <c r="A324" s="9">
        <v>11500007</v>
      </c>
      <c r="B324" s="4" t="s">
        <v>352</v>
      </c>
      <c r="C324" s="4" t="s">
        <v>42</v>
      </c>
      <c r="D324" s="5">
        <v>3</v>
      </c>
      <c r="E324" s="26">
        <v>7</v>
      </c>
      <c r="F324" s="26">
        <f>ROUND(E324/2, 0)</f>
        <v>4</v>
      </c>
      <c r="G324" s="26">
        <f>E324-F324</f>
        <v>3</v>
      </c>
      <c r="H324" s="26" t="str">
        <f>IF(G324&lt;=0,"To Order", "Ok")</f>
        <v>Ok</v>
      </c>
      <c r="I324" s="6">
        <v>400</v>
      </c>
      <c r="J324" s="7" t="s">
        <v>476</v>
      </c>
      <c r="K324" s="7">
        <v>3</v>
      </c>
    </row>
    <row r="325" spans="1:11" s="2" customFormat="1" x14ac:dyDescent="0.2">
      <c r="A325" s="9">
        <v>10000012</v>
      </c>
      <c r="B325" s="4" t="s">
        <v>353</v>
      </c>
      <c r="C325" s="4" t="s">
        <v>79</v>
      </c>
      <c r="D325" s="5">
        <v>0</v>
      </c>
      <c r="E325" s="26"/>
      <c r="F325" s="26"/>
      <c r="G325" s="26"/>
      <c r="H325" s="26"/>
      <c r="I325" s="6">
        <v>75</v>
      </c>
      <c r="J325" s="7" t="s">
        <v>471</v>
      </c>
      <c r="K325" s="7"/>
    </row>
    <row r="326" spans="1:11" s="2" customFormat="1" x14ac:dyDescent="0.2">
      <c r="A326" s="9">
        <v>10000013</v>
      </c>
      <c r="B326" s="4" t="s">
        <v>354</v>
      </c>
      <c r="C326" s="4" t="s">
        <v>16</v>
      </c>
      <c r="D326" s="5">
        <v>0</v>
      </c>
      <c r="E326" s="26"/>
      <c r="F326" s="26"/>
      <c r="G326" s="26"/>
      <c r="H326" s="26"/>
      <c r="I326" s="6">
        <v>150</v>
      </c>
      <c r="J326" s="7" t="s">
        <v>471</v>
      </c>
      <c r="K326" s="7"/>
    </row>
    <row r="327" spans="1:11" s="2" customFormat="1" x14ac:dyDescent="0.2">
      <c r="A327" s="9">
        <v>10100034</v>
      </c>
      <c r="B327" s="4" t="s">
        <v>355</v>
      </c>
      <c r="C327" s="4" t="s">
        <v>16</v>
      </c>
      <c r="D327" s="5">
        <v>0</v>
      </c>
      <c r="E327" s="26"/>
      <c r="F327" s="26"/>
      <c r="G327" s="26"/>
      <c r="H327" s="26"/>
      <c r="I327" s="6">
        <v>85</v>
      </c>
      <c r="J327" s="7" t="s">
        <v>471</v>
      </c>
      <c r="K327" s="7"/>
    </row>
    <row r="328" spans="1:11" s="2" customFormat="1" x14ac:dyDescent="0.2">
      <c r="A328" s="9">
        <v>11100215</v>
      </c>
      <c r="B328" s="4" t="s">
        <v>356</v>
      </c>
      <c r="C328" s="4" t="s">
        <v>155</v>
      </c>
      <c r="D328" s="5">
        <v>4</v>
      </c>
      <c r="E328" s="26">
        <v>3</v>
      </c>
      <c r="F328" s="26">
        <f>ROUND(E328/2, 0)</f>
        <v>2</v>
      </c>
      <c r="G328" s="26">
        <f>E328-F328</f>
        <v>1</v>
      </c>
      <c r="H328" s="26" t="str">
        <f>IF(G328&lt;=0,"To Order", "Ok")</f>
        <v>Ok</v>
      </c>
      <c r="I328" s="6">
        <v>215</v>
      </c>
      <c r="J328" s="7" t="s">
        <v>476</v>
      </c>
      <c r="K328" s="7"/>
    </row>
    <row r="329" spans="1:11" s="2" customFormat="1" x14ac:dyDescent="0.2">
      <c r="A329" s="9">
        <v>10100065</v>
      </c>
      <c r="B329" s="4" t="s">
        <v>357</v>
      </c>
      <c r="C329" s="4" t="s">
        <v>16</v>
      </c>
      <c r="D329" s="5">
        <v>0</v>
      </c>
      <c r="E329" s="26"/>
      <c r="F329" s="26"/>
      <c r="G329" s="26"/>
      <c r="H329" s="26"/>
      <c r="I329" s="6">
        <v>150</v>
      </c>
      <c r="J329" s="7" t="s">
        <v>471</v>
      </c>
      <c r="K329" s="7"/>
    </row>
    <row r="330" spans="1:11" s="2" customFormat="1" x14ac:dyDescent="0.2">
      <c r="A330" s="9">
        <v>11800031</v>
      </c>
      <c r="B330" s="4" t="s">
        <v>358</v>
      </c>
      <c r="C330" s="4" t="s">
        <v>16</v>
      </c>
      <c r="D330" s="5">
        <v>7</v>
      </c>
      <c r="E330" s="26">
        <v>8</v>
      </c>
      <c r="F330" s="26">
        <f>ROUND(E330/2, 0)</f>
        <v>4</v>
      </c>
      <c r="G330" s="26">
        <f>E330-F330</f>
        <v>4</v>
      </c>
      <c r="H330" s="26" t="str">
        <f>IF(G330&lt;=0,"To Order", "Ok")</f>
        <v>Ok</v>
      </c>
      <c r="I330" s="6">
        <v>380</v>
      </c>
      <c r="J330" s="7" t="s">
        <v>476</v>
      </c>
      <c r="K330" s="7">
        <v>1</v>
      </c>
    </row>
    <row r="331" spans="1:11" s="2" customFormat="1" x14ac:dyDescent="0.2">
      <c r="A331" s="9">
        <v>11100165</v>
      </c>
      <c r="B331" s="4" t="s">
        <v>359</v>
      </c>
      <c r="C331" s="4" t="s">
        <v>16</v>
      </c>
      <c r="D331" s="5">
        <v>6</v>
      </c>
      <c r="E331" s="26">
        <v>5</v>
      </c>
      <c r="F331" s="26">
        <f>ROUND(E331/2, 0)</f>
        <v>3</v>
      </c>
      <c r="G331" s="26">
        <f>E331-F331</f>
        <v>2</v>
      </c>
      <c r="H331" s="26" t="str">
        <f>IF(G331&lt;=0,"To Order", "Ok")</f>
        <v>Ok</v>
      </c>
      <c r="I331" s="6">
        <v>237.5172312</v>
      </c>
      <c r="J331" s="7" t="s">
        <v>476</v>
      </c>
      <c r="K331" s="7">
        <v>2</v>
      </c>
    </row>
    <row r="332" spans="1:11" s="2" customFormat="1" x14ac:dyDescent="0.2">
      <c r="A332" s="9">
        <v>10100035</v>
      </c>
      <c r="B332" s="4" t="s">
        <v>360</v>
      </c>
      <c r="C332" s="4" t="s">
        <v>16</v>
      </c>
      <c r="D332" s="5">
        <v>0</v>
      </c>
      <c r="E332" s="26"/>
      <c r="F332" s="26"/>
      <c r="G332" s="26"/>
      <c r="H332" s="26"/>
      <c r="I332" s="6">
        <v>180</v>
      </c>
      <c r="J332" s="7" t="s">
        <v>471</v>
      </c>
      <c r="K332" s="7"/>
    </row>
    <row r="333" spans="1:11" s="2" customFormat="1" x14ac:dyDescent="0.2">
      <c r="A333" s="9">
        <v>19300002</v>
      </c>
      <c r="B333" s="4" t="s">
        <v>361</v>
      </c>
      <c r="C333" s="4" t="s">
        <v>16</v>
      </c>
      <c r="D333" s="5">
        <v>0</v>
      </c>
      <c r="E333" s="26">
        <v>1</v>
      </c>
      <c r="F333" s="26">
        <f>ROUND(E333/2, 0)</f>
        <v>1</v>
      </c>
      <c r="G333" s="26">
        <f>E333-F333</f>
        <v>0</v>
      </c>
      <c r="H333" s="26" t="str">
        <f>IF(G333&lt;=0,"To Order", "Ok")</f>
        <v>To Order</v>
      </c>
      <c r="I333" s="6">
        <v>330</v>
      </c>
      <c r="J333" s="7" t="s">
        <v>476</v>
      </c>
      <c r="K333" s="7">
        <v>2</v>
      </c>
    </row>
    <row r="334" spans="1:11" s="2" customFormat="1" x14ac:dyDescent="0.2">
      <c r="A334" s="9">
        <v>10100036</v>
      </c>
      <c r="B334" s="4" t="s">
        <v>362</v>
      </c>
      <c r="C334" s="4" t="s">
        <v>16</v>
      </c>
      <c r="D334" s="5">
        <v>0</v>
      </c>
      <c r="E334" s="26"/>
      <c r="F334" s="26">
        <f>ROUND(E334/2, 0)</f>
        <v>0</v>
      </c>
      <c r="G334" s="26">
        <f>E334-F334</f>
        <v>0</v>
      </c>
      <c r="H334" s="26" t="str">
        <f>IF(G334&lt;=0,"To Order", "Ok")</f>
        <v>To Order</v>
      </c>
      <c r="I334" s="6">
        <v>300</v>
      </c>
      <c r="J334" s="7" t="s">
        <v>476</v>
      </c>
      <c r="K334" s="7"/>
    </row>
    <row r="335" spans="1:11" s="2" customFormat="1" x14ac:dyDescent="0.2">
      <c r="A335" s="9">
        <v>13300015</v>
      </c>
      <c r="B335" s="4" t="s">
        <v>363</v>
      </c>
      <c r="C335" s="4" t="s">
        <v>16</v>
      </c>
      <c r="D335" s="5">
        <v>25</v>
      </c>
      <c r="E335" s="26"/>
      <c r="F335" s="26"/>
      <c r="G335" s="26"/>
      <c r="H335" s="26"/>
      <c r="I335" s="6">
        <v>1100</v>
      </c>
      <c r="J335" s="7" t="s">
        <v>472</v>
      </c>
      <c r="K335" s="7"/>
    </row>
    <row r="336" spans="1:11" s="2" customFormat="1" x14ac:dyDescent="0.2">
      <c r="A336" s="9">
        <v>11000003</v>
      </c>
      <c r="B336" s="4" t="s">
        <v>364</v>
      </c>
      <c r="C336" s="4" t="s">
        <v>20</v>
      </c>
      <c r="D336" s="5">
        <v>2</v>
      </c>
      <c r="E336" s="26"/>
      <c r="F336" s="26">
        <f>ROUND(E336/2, 0)</f>
        <v>0</v>
      </c>
      <c r="G336" s="26">
        <f>E336-F336</f>
        <v>0</v>
      </c>
      <c r="H336" s="26" t="str">
        <f>IF(G336&lt;=0,"To Order", "Ok")</f>
        <v>To Order</v>
      </c>
      <c r="I336" s="6">
        <v>636</v>
      </c>
      <c r="J336" s="7" t="s">
        <v>476</v>
      </c>
      <c r="K336" s="7"/>
    </row>
    <row r="337" spans="1:11" s="2" customFormat="1" x14ac:dyDescent="0.2">
      <c r="A337" s="9">
        <v>13600113</v>
      </c>
      <c r="B337" s="4" t="s">
        <v>365</v>
      </c>
      <c r="C337" s="4" t="s">
        <v>20</v>
      </c>
      <c r="D337" s="5">
        <v>0</v>
      </c>
      <c r="E337" s="26"/>
      <c r="F337" s="26"/>
      <c r="G337" s="26"/>
      <c r="H337" s="26"/>
      <c r="I337" s="6">
        <v>560</v>
      </c>
      <c r="J337" s="7" t="s">
        <v>475</v>
      </c>
      <c r="K337" s="7"/>
    </row>
    <row r="338" spans="1:11" s="2" customFormat="1" x14ac:dyDescent="0.2">
      <c r="A338" s="9">
        <v>12800005</v>
      </c>
      <c r="B338" s="4" t="s">
        <v>366</v>
      </c>
      <c r="C338" s="4" t="s">
        <v>16</v>
      </c>
      <c r="D338" s="5">
        <v>29</v>
      </c>
      <c r="E338" s="26"/>
      <c r="F338" s="26"/>
      <c r="G338" s="26"/>
      <c r="H338" s="26"/>
      <c r="I338" s="6">
        <v>880</v>
      </c>
      <c r="J338" s="7" t="s">
        <v>472</v>
      </c>
      <c r="K338" s="7"/>
    </row>
    <row r="339" spans="1:11" s="2" customFormat="1" x14ac:dyDescent="0.2">
      <c r="A339" s="9">
        <v>11200021</v>
      </c>
      <c r="B339" s="4" t="s">
        <v>367</v>
      </c>
      <c r="C339" s="4" t="s">
        <v>16</v>
      </c>
      <c r="D339" s="5">
        <v>100</v>
      </c>
      <c r="E339" s="26">
        <v>75</v>
      </c>
      <c r="F339" s="26">
        <f>ROUND(E339/2, 0)</f>
        <v>38</v>
      </c>
      <c r="G339" s="26">
        <f>E339-F339</f>
        <v>37</v>
      </c>
      <c r="H339" s="26" t="str">
        <f>IF(G339&lt;=0,"To Order", "Ok")</f>
        <v>Ok</v>
      </c>
      <c r="I339" s="6">
        <v>124.8</v>
      </c>
      <c r="J339" s="7" t="s">
        <v>476</v>
      </c>
      <c r="K339" s="7">
        <v>25</v>
      </c>
    </row>
    <row r="340" spans="1:11" s="2" customFormat="1" x14ac:dyDescent="0.2">
      <c r="A340" s="9">
        <v>11200022</v>
      </c>
      <c r="B340" s="4" t="s">
        <v>368</v>
      </c>
      <c r="C340" s="4" t="s">
        <v>16</v>
      </c>
      <c r="D340" s="5">
        <v>0</v>
      </c>
      <c r="E340" s="26"/>
      <c r="F340" s="26">
        <f>ROUND(E340/2, 0)</f>
        <v>0</v>
      </c>
      <c r="G340" s="26">
        <f>E340-F340</f>
        <v>0</v>
      </c>
      <c r="H340" s="26" t="str">
        <f>IF(G340&lt;=0,"To Order", "Ok")</f>
        <v>To Order</v>
      </c>
      <c r="I340" s="6">
        <v>119.96</v>
      </c>
      <c r="J340" s="7" t="s">
        <v>476</v>
      </c>
      <c r="K340" s="7"/>
    </row>
    <row r="341" spans="1:11" s="2" customFormat="1" x14ac:dyDescent="0.2">
      <c r="A341" s="9">
        <v>11100057</v>
      </c>
      <c r="B341" s="4" t="s">
        <v>369</v>
      </c>
      <c r="C341" s="4" t="s">
        <v>16</v>
      </c>
      <c r="D341" s="5">
        <v>1.8</v>
      </c>
      <c r="E341" s="26">
        <v>10</v>
      </c>
      <c r="F341" s="26">
        <f>ROUND(E341/2, 0)</f>
        <v>5</v>
      </c>
      <c r="G341" s="26">
        <f>E341-F341</f>
        <v>5</v>
      </c>
      <c r="H341" s="26" t="str">
        <f>IF(G341&lt;=0,"To Order", "Ok")</f>
        <v>Ok</v>
      </c>
      <c r="I341" s="6">
        <v>1300</v>
      </c>
      <c r="J341" s="7" t="s">
        <v>476</v>
      </c>
      <c r="K341" s="7">
        <v>5</v>
      </c>
    </row>
    <row r="342" spans="1:11" s="2" customFormat="1" x14ac:dyDescent="0.2">
      <c r="A342" s="9">
        <v>10800002</v>
      </c>
      <c r="B342" s="4" t="s">
        <v>370</v>
      </c>
      <c r="C342" s="4" t="s">
        <v>16</v>
      </c>
      <c r="D342" s="5">
        <v>0</v>
      </c>
      <c r="E342" s="26"/>
      <c r="F342" s="26">
        <f>ROUND(E342/2, 0)</f>
        <v>0</v>
      </c>
      <c r="G342" s="26">
        <f>E342-F342</f>
        <v>0</v>
      </c>
      <c r="H342" s="26" t="str">
        <f>IF(G342&lt;=0,"To Order", "Ok")</f>
        <v>To Order</v>
      </c>
      <c r="I342" s="6">
        <v>380</v>
      </c>
      <c r="J342" s="7" t="s">
        <v>476</v>
      </c>
      <c r="K342" s="7"/>
    </row>
    <row r="343" spans="1:11" s="2" customFormat="1" x14ac:dyDescent="0.2">
      <c r="A343" s="9">
        <v>10100037</v>
      </c>
      <c r="B343" s="4" t="s">
        <v>371</v>
      </c>
      <c r="C343" s="4" t="s">
        <v>16</v>
      </c>
      <c r="D343" s="5">
        <v>0</v>
      </c>
      <c r="E343" s="30" t="s">
        <v>478</v>
      </c>
      <c r="F343" s="26"/>
      <c r="G343" s="26" t="e">
        <f>E343-F343</f>
        <v>#VALUE!</v>
      </c>
      <c r="H343" s="26" t="e">
        <f>IF(G343&lt;=0,"To Order", "Ok")</f>
        <v>#VALUE!</v>
      </c>
      <c r="I343" s="6">
        <v>150</v>
      </c>
      <c r="J343" s="7" t="s">
        <v>476</v>
      </c>
      <c r="K343" s="7"/>
    </row>
    <row r="344" spans="1:11" s="2" customFormat="1" x14ac:dyDescent="0.2">
      <c r="A344" s="9">
        <v>10100071</v>
      </c>
      <c r="B344" s="4" t="s">
        <v>372</v>
      </c>
      <c r="C344" s="4" t="s">
        <v>8</v>
      </c>
      <c r="D344" s="5">
        <v>0</v>
      </c>
      <c r="E344" s="26"/>
      <c r="F344" s="26"/>
      <c r="G344" s="26"/>
      <c r="H344" s="26"/>
      <c r="I344" s="6">
        <v>100</v>
      </c>
      <c r="J344" s="7" t="s">
        <v>471</v>
      </c>
      <c r="K344" s="7"/>
    </row>
    <row r="345" spans="1:11" s="2" customFormat="1" x14ac:dyDescent="0.2">
      <c r="A345" s="9">
        <v>10100104</v>
      </c>
      <c r="B345" s="4" t="s">
        <v>373</v>
      </c>
      <c r="C345" s="4" t="s">
        <v>8</v>
      </c>
      <c r="D345" s="5">
        <v>0</v>
      </c>
      <c r="E345" s="26"/>
      <c r="F345" s="26"/>
      <c r="G345" s="26"/>
      <c r="H345" s="26"/>
      <c r="I345" s="6">
        <v>20</v>
      </c>
      <c r="J345" s="7" t="s">
        <v>471</v>
      </c>
      <c r="K345" s="7"/>
    </row>
    <row r="346" spans="1:11" s="2" customFormat="1" x14ac:dyDescent="0.2">
      <c r="A346" s="9">
        <v>11100228</v>
      </c>
      <c r="B346" s="4" t="s">
        <v>374</v>
      </c>
      <c r="C346" s="4" t="s">
        <v>14</v>
      </c>
      <c r="D346" s="5">
        <v>0</v>
      </c>
      <c r="E346" s="26">
        <v>4</v>
      </c>
      <c r="F346" s="26">
        <f t="shared" ref="F346:F357" si="30">ROUND(E346/2, 0)</f>
        <v>2</v>
      </c>
      <c r="G346" s="26">
        <f t="shared" ref="G346:G357" si="31">E346-F346</f>
        <v>2</v>
      </c>
      <c r="H346" s="26" t="str">
        <f t="shared" ref="H346:H357" si="32">IF(G346&lt;=0,"To Order", "Ok")</f>
        <v>Ok</v>
      </c>
      <c r="I346" s="6">
        <v>320</v>
      </c>
      <c r="J346" s="7" t="s">
        <v>476</v>
      </c>
      <c r="K346" s="7">
        <v>1</v>
      </c>
    </row>
    <row r="347" spans="1:11" s="2" customFormat="1" x14ac:dyDescent="0.2">
      <c r="A347" s="9">
        <v>11100059</v>
      </c>
      <c r="B347" s="4" t="s">
        <v>375</v>
      </c>
      <c r="C347" s="4" t="s">
        <v>16</v>
      </c>
      <c r="D347" s="5">
        <v>10</v>
      </c>
      <c r="E347" s="26">
        <v>50</v>
      </c>
      <c r="F347" s="26">
        <f t="shared" si="30"/>
        <v>25</v>
      </c>
      <c r="G347" s="26">
        <f t="shared" si="31"/>
        <v>25</v>
      </c>
      <c r="H347" s="26" t="str">
        <f t="shared" si="32"/>
        <v>Ok</v>
      </c>
      <c r="I347" s="6">
        <v>30</v>
      </c>
      <c r="J347" s="7" t="s">
        <v>476</v>
      </c>
      <c r="K347" s="7">
        <v>10</v>
      </c>
    </row>
    <row r="348" spans="1:11" s="2" customFormat="1" x14ac:dyDescent="0.2">
      <c r="A348" s="9">
        <v>11100166</v>
      </c>
      <c r="B348" s="4" t="s">
        <v>376</v>
      </c>
      <c r="C348" s="4" t="s">
        <v>16</v>
      </c>
      <c r="D348" s="5">
        <v>3</v>
      </c>
      <c r="E348" s="26"/>
      <c r="F348" s="26">
        <f t="shared" si="30"/>
        <v>0</v>
      </c>
      <c r="G348" s="26">
        <f t="shared" si="31"/>
        <v>0</v>
      </c>
      <c r="H348" s="26" t="str">
        <f t="shared" si="32"/>
        <v>To Order</v>
      </c>
      <c r="I348" s="6">
        <v>900</v>
      </c>
      <c r="J348" s="7" t="s">
        <v>476</v>
      </c>
      <c r="K348" s="7"/>
    </row>
    <row r="349" spans="1:11" s="2" customFormat="1" x14ac:dyDescent="0.2">
      <c r="A349" s="9">
        <v>10800058</v>
      </c>
      <c r="B349" s="4" t="s">
        <v>377</v>
      </c>
      <c r="C349" s="4" t="s">
        <v>16</v>
      </c>
      <c r="D349" s="5">
        <v>0.5</v>
      </c>
      <c r="E349" s="26"/>
      <c r="F349" s="26">
        <f t="shared" si="30"/>
        <v>0</v>
      </c>
      <c r="G349" s="26">
        <f t="shared" si="31"/>
        <v>0</v>
      </c>
      <c r="H349" s="26" t="str">
        <f t="shared" si="32"/>
        <v>To Order</v>
      </c>
      <c r="I349" s="6">
        <v>5000</v>
      </c>
      <c r="J349" s="7" t="s">
        <v>476</v>
      </c>
      <c r="K349" s="7"/>
    </row>
    <row r="350" spans="1:11" s="2" customFormat="1" x14ac:dyDescent="0.2">
      <c r="A350" s="9">
        <v>11100083</v>
      </c>
      <c r="B350" s="4" t="s">
        <v>378</v>
      </c>
      <c r="C350" s="4" t="s">
        <v>14</v>
      </c>
      <c r="D350" s="5">
        <v>3</v>
      </c>
      <c r="E350" s="31">
        <v>3</v>
      </c>
      <c r="F350" s="26">
        <f t="shared" si="30"/>
        <v>2</v>
      </c>
      <c r="G350" s="26">
        <f t="shared" si="31"/>
        <v>1</v>
      </c>
      <c r="H350" s="26" t="str">
        <f t="shared" si="32"/>
        <v>Ok</v>
      </c>
      <c r="I350" s="6">
        <v>380</v>
      </c>
      <c r="J350" s="7" t="s">
        <v>476</v>
      </c>
      <c r="K350" s="7">
        <v>1</v>
      </c>
    </row>
    <row r="351" spans="1:11" s="2" customFormat="1" x14ac:dyDescent="0.2">
      <c r="A351" s="9">
        <v>10700008</v>
      </c>
      <c r="B351" s="4" t="s">
        <v>379</v>
      </c>
      <c r="C351" s="4" t="s">
        <v>16</v>
      </c>
      <c r="D351" s="5">
        <v>2</v>
      </c>
      <c r="E351" s="26"/>
      <c r="F351" s="26">
        <f t="shared" si="30"/>
        <v>0</v>
      </c>
      <c r="G351" s="26">
        <f t="shared" si="31"/>
        <v>0</v>
      </c>
      <c r="H351" s="26" t="str">
        <f t="shared" si="32"/>
        <v>To Order</v>
      </c>
      <c r="I351" s="6">
        <v>165</v>
      </c>
      <c r="J351" s="7" t="s">
        <v>476</v>
      </c>
      <c r="K351" s="7">
        <v>1</v>
      </c>
    </row>
    <row r="352" spans="1:11" s="2" customFormat="1" x14ac:dyDescent="0.2">
      <c r="A352" s="9">
        <v>11300009</v>
      </c>
      <c r="B352" s="4" t="s">
        <v>380</v>
      </c>
      <c r="C352" s="4" t="s">
        <v>20</v>
      </c>
      <c r="D352" s="5">
        <v>0</v>
      </c>
      <c r="E352" s="26">
        <v>5</v>
      </c>
      <c r="F352" s="26">
        <f t="shared" si="30"/>
        <v>3</v>
      </c>
      <c r="G352" s="26">
        <f t="shared" si="31"/>
        <v>2</v>
      </c>
      <c r="H352" s="26" t="str">
        <f t="shared" si="32"/>
        <v>Ok</v>
      </c>
      <c r="I352" s="6">
        <v>326</v>
      </c>
      <c r="J352" s="7" t="s">
        <v>476</v>
      </c>
      <c r="K352" s="7">
        <v>1</v>
      </c>
    </row>
    <row r="353" spans="1:11" s="2" customFormat="1" x14ac:dyDescent="0.2">
      <c r="A353" s="9">
        <v>11300002</v>
      </c>
      <c r="B353" s="4" t="s">
        <v>381</v>
      </c>
      <c r="C353" s="4" t="s">
        <v>98</v>
      </c>
      <c r="D353" s="5">
        <v>0</v>
      </c>
      <c r="E353" s="26">
        <v>1</v>
      </c>
      <c r="F353" s="26">
        <f t="shared" si="30"/>
        <v>1</v>
      </c>
      <c r="G353" s="26">
        <f t="shared" si="31"/>
        <v>0</v>
      </c>
      <c r="H353" s="26" t="str">
        <f t="shared" si="32"/>
        <v>To Order</v>
      </c>
      <c r="I353" s="6">
        <v>326</v>
      </c>
      <c r="J353" s="7" t="s">
        <v>476</v>
      </c>
      <c r="K353" s="7">
        <v>1</v>
      </c>
    </row>
    <row r="354" spans="1:11" s="2" customFormat="1" x14ac:dyDescent="0.2">
      <c r="A354" s="9">
        <v>11100060</v>
      </c>
      <c r="B354" s="4" t="s">
        <v>382</v>
      </c>
      <c r="C354" s="4" t="s">
        <v>16</v>
      </c>
      <c r="D354" s="5">
        <v>1</v>
      </c>
      <c r="E354" s="26"/>
      <c r="F354" s="26">
        <f t="shared" si="30"/>
        <v>0</v>
      </c>
      <c r="G354" s="26">
        <f t="shared" si="31"/>
        <v>0</v>
      </c>
      <c r="H354" s="26" t="str">
        <f t="shared" si="32"/>
        <v>To Order</v>
      </c>
      <c r="I354" s="6">
        <v>272</v>
      </c>
      <c r="J354" s="7" t="s">
        <v>476</v>
      </c>
      <c r="K354" s="7"/>
    </row>
    <row r="355" spans="1:11" s="2" customFormat="1" x14ac:dyDescent="0.2">
      <c r="A355" s="9">
        <v>11800013</v>
      </c>
      <c r="B355" s="4" t="s">
        <v>383</v>
      </c>
      <c r="C355" s="4" t="s">
        <v>20</v>
      </c>
      <c r="D355" s="5">
        <v>0</v>
      </c>
      <c r="E355" s="26">
        <v>14</v>
      </c>
      <c r="F355" s="26">
        <f t="shared" si="30"/>
        <v>7</v>
      </c>
      <c r="G355" s="26">
        <f t="shared" si="31"/>
        <v>7</v>
      </c>
      <c r="H355" s="26" t="str">
        <f t="shared" si="32"/>
        <v>Ok</v>
      </c>
      <c r="I355" s="6">
        <v>260</v>
      </c>
      <c r="J355" s="7" t="s">
        <v>476</v>
      </c>
      <c r="K355" s="7">
        <v>10</v>
      </c>
    </row>
    <row r="356" spans="1:11" s="2" customFormat="1" x14ac:dyDescent="0.2">
      <c r="A356" s="9">
        <v>10600034</v>
      </c>
      <c r="B356" s="4" t="s">
        <v>384</v>
      </c>
      <c r="C356" s="4" t="s">
        <v>20</v>
      </c>
      <c r="D356" s="5">
        <v>5</v>
      </c>
      <c r="E356" s="26">
        <v>5</v>
      </c>
      <c r="F356" s="26">
        <f t="shared" si="30"/>
        <v>3</v>
      </c>
      <c r="G356" s="26">
        <f t="shared" si="31"/>
        <v>2</v>
      </c>
      <c r="H356" s="26" t="str">
        <f t="shared" si="32"/>
        <v>Ok</v>
      </c>
      <c r="I356" s="6">
        <v>273</v>
      </c>
      <c r="J356" s="7" t="s">
        <v>476</v>
      </c>
      <c r="K356" s="7">
        <v>1</v>
      </c>
    </row>
    <row r="357" spans="1:11" s="2" customFormat="1" x14ac:dyDescent="0.2">
      <c r="A357" s="9">
        <v>11100145</v>
      </c>
      <c r="B357" s="4" t="s">
        <v>385</v>
      </c>
      <c r="C357" s="4" t="s">
        <v>42</v>
      </c>
      <c r="D357" s="5">
        <v>4</v>
      </c>
      <c r="E357" s="26">
        <v>4</v>
      </c>
      <c r="F357" s="26">
        <f t="shared" si="30"/>
        <v>2</v>
      </c>
      <c r="G357" s="26">
        <f t="shared" si="31"/>
        <v>2</v>
      </c>
      <c r="H357" s="26" t="str">
        <f t="shared" si="32"/>
        <v>Ok</v>
      </c>
      <c r="I357" s="6">
        <v>380</v>
      </c>
      <c r="J357" s="7" t="s">
        <v>476</v>
      </c>
      <c r="K357" s="7">
        <v>4</v>
      </c>
    </row>
    <row r="358" spans="1:11" s="2" customFormat="1" x14ac:dyDescent="0.2">
      <c r="A358" s="9">
        <v>10100097</v>
      </c>
      <c r="B358" s="4" t="s">
        <v>386</v>
      </c>
      <c r="C358" s="4" t="s">
        <v>8</v>
      </c>
      <c r="D358" s="5">
        <v>0</v>
      </c>
      <c r="E358" s="26"/>
      <c r="F358" s="26"/>
      <c r="G358" s="26"/>
      <c r="H358" s="26"/>
      <c r="I358" s="6">
        <v>30</v>
      </c>
      <c r="J358" s="7" t="s">
        <v>471</v>
      </c>
      <c r="K358" s="7"/>
    </row>
    <row r="359" spans="1:11" s="2" customFormat="1" x14ac:dyDescent="0.2">
      <c r="A359" s="9">
        <v>10100047</v>
      </c>
      <c r="B359" s="4" t="s">
        <v>387</v>
      </c>
      <c r="C359" s="4" t="s">
        <v>14</v>
      </c>
      <c r="D359" s="5">
        <v>0</v>
      </c>
      <c r="E359" s="26"/>
      <c r="F359" s="26"/>
      <c r="G359" s="26"/>
      <c r="H359" s="26"/>
      <c r="I359" s="6">
        <v>50</v>
      </c>
      <c r="J359" s="7" t="s">
        <v>471</v>
      </c>
      <c r="K359" s="7"/>
    </row>
    <row r="360" spans="1:11" s="2" customFormat="1" x14ac:dyDescent="0.2">
      <c r="A360" s="9">
        <v>11100061</v>
      </c>
      <c r="B360" s="4" t="s">
        <v>388</v>
      </c>
      <c r="C360" s="4" t="s">
        <v>12</v>
      </c>
      <c r="D360" s="5">
        <v>6</v>
      </c>
      <c r="E360" s="26">
        <v>6</v>
      </c>
      <c r="F360" s="26">
        <f>ROUND(E360/2, 0)</f>
        <v>3</v>
      </c>
      <c r="G360" s="26">
        <f>E360-F360</f>
        <v>3</v>
      </c>
      <c r="H360" s="26" t="str">
        <f>IF(G360&lt;=0,"To Order", "Ok")</f>
        <v>Ok</v>
      </c>
      <c r="I360" s="6">
        <v>480</v>
      </c>
      <c r="J360" s="7" t="s">
        <v>476</v>
      </c>
      <c r="K360" s="7">
        <v>2</v>
      </c>
    </row>
    <row r="361" spans="1:11" s="2" customFormat="1" x14ac:dyDescent="0.2">
      <c r="A361" s="9">
        <v>11100062</v>
      </c>
      <c r="B361" s="4" t="s">
        <v>389</v>
      </c>
      <c r="C361" s="4" t="s">
        <v>16</v>
      </c>
      <c r="D361" s="5">
        <v>0</v>
      </c>
      <c r="E361" s="26">
        <v>2</v>
      </c>
      <c r="F361" s="26">
        <f>ROUND(E361/2, 0)</f>
        <v>1</v>
      </c>
      <c r="G361" s="26">
        <f>E361-F361</f>
        <v>1</v>
      </c>
      <c r="H361" s="26" t="str">
        <f>IF(G361&lt;=0,"To Order", "Ok")</f>
        <v>Ok</v>
      </c>
      <c r="I361" s="6">
        <v>420</v>
      </c>
      <c r="J361" s="7" t="s">
        <v>476</v>
      </c>
      <c r="K361" s="7"/>
    </row>
    <row r="362" spans="1:11" s="2" customFormat="1" x14ac:dyDescent="0.2">
      <c r="A362" s="9">
        <v>10000014</v>
      </c>
      <c r="B362" s="4" t="s">
        <v>390</v>
      </c>
      <c r="C362" s="4" t="s">
        <v>227</v>
      </c>
      <c r="D362" s="5">
        <v>0</v>
      </c>
      <c r="E362" s="26"/>
      <c r="F362" s="26"/>
      <c r="G362" s="26"/>
      <c r="H362" s="26"/>
      <c r="I362" s="6">
        <v>200</v>
      </c>
      <c r="J362" s="7" t="s">
        <v>471</v>
      </c>
      <c r="K362" s="7"/>
    </row>
    <row r="363" spans="1:11" s="2" customFormat="1" x14ac:dyDescent="0.2">
      <c r="A363" s="9">
        <v>10400004</v>
      </c>
      <c r="B363" s="4" t="s">
        <v>391</v>
      </c>
      <c r="C363" s="4" t="s">
        <v>20</v>
      </c>
      <c r="D363" s="5">
        <v>16</v>
      </c>
      <c r="E363" s="26"/>
      <c r="F363" s="26"/>
      <c r="G363" s="26"/>
      <c r="H363" s="26"/>
      <c r="I363" s="6">
        <v>198.27500000000001</v>
      </c>
      <c r="J363" s="7" t="s">
        <v>472</v>
      </c>
      <c r="K363" s="7"/>
    </row>
    <row r="364" spans="1:11" s="2" customFormat="1" x14ac:dyDescent="0.2">
      <c r="A364" s="9">
        <v>12000007</v>
      </c>
      <c r="B364" s="4" t="s">
        <v>392</v>
      </c>
      <c r="C364" s="4" t="s">
        <v>132</v>
      </c>
      <c r="D364" s="5">
        <v>0</v>
      </c>
      <c r="E364" s="26">
        <v>3</v>
      </c>
      <c r="F364" s="26">
        <f>ROUND(E364/2, 0)</f>
        <v>2</v>
      </c>
      <c r="G364" s="26">
        <f>E364-F364</f>
        <v>1</v>
      </c>
      <c r="H364" s="26" t="str">
        <f>IF(G364&lt;=0,"To Order", "Ok")</f>
        <v>Ok</v>
      </c>
      <c r="I364" s="6">
        <v>385</v>
      </c>
      <c r="J364" s="7" t="s">
        <v>476</v>
      </c>
      <c r="K364" s="7">
        <v>3</v>
      </c>
    </row>
    <row r="365" spans="1:11" s="2" customFormat="1" x14ac:dyDescent="0.2">
      <c r="A365" s="9">
        <v>11400011</v>
      </c>
      <c r="B365" s="4" t="s">
        <v>393</v>
      </c>
      <c r="C365" s="4" t="s">
        <v>16</v>
      </c>
      <c r="D365" s="5">
        <v>85</v>
      </c>
      <c r="E365" s="26">
        <v>40</v>
      </c>
      <c r="F365" s="26">
        <f>ROUND(E365/2, 0)</f>
        <v>20</v>
      </c>
      <c r="G365" s="26">
        <f>E365-F365</f>
        <v>20</v>
      </c>
      <c r="H365" s="26" t="str">
        <f>IF(G365&lt;=0,"To Order", "Ok")</f>
        <v>Ok</v>
      </c>
      <c r="I365" s="6">
        <v>197.3</v>
      </c>
      <c r="J365" s="7" t="s">
        <v>476</v>
      </c>
      <c r="K365" s="7">
        <v>40</v>
      </c>
    </row>
    <row r="366" spans="1:11" s="2" customFormat="1" x14ac:dyDescent="0.2">
      <c r="A366" s="9">
        <v>11400004</v>
      </c>
      <c r="B366" s="4" t="s">
        <v>394</v>
      </c>
      <c r="C366" s="4" t="s">
        <v>16</v>
      </c>
      <c r="D366" s="5">
        <v>0</v>
      </c>
      <c r="E366" s="26">
        <v>1</v>
      </c>
      <c r="F366" s="26">
        <f>ROUND(E366/2, 0)</f>
        <v>1</v>
      </c>
      <c r="G366" s="26">
        <f>E366-F366</f>
        <v>0</v>
      </c>
      <c r="H366" s="26" t="str">
        <f>IF(G366&lt;=0,"To Order", "Ok")</f>
        <v>To Order</v>
      </c>
      <c r="I366" s="6">
        <v>175</v>
      </c>
      <c r="J366" s="7" t="s">
        <v>476</v>
      </c>
      <c r="K366" s="7"/>
    </row>
    <row r="367" spans="1:11" s="2" customFormat="1" x14ac:dyDescent="0.2">
      <c r="A367" s="9">
        <v>10100057</v>
      </c>
      <c r="B367" s="4" t="s">
        <v>395</v>
      </c>
      <c r="C367" s="4" t="s">
        <v>8</v>
      </c>
      <c r="D367" s="5">
        <v>0</v>
      </c>
      <c r="E367" s="26"/>
      <c r="F367" s="26"/>
      <c r="G367" s="26"/>
      <c r="H367" s="26"/>
      <c r="I367" s="6">
        <v>30</v>
      </c>
      <c r="J367" s="7" t="s">
        <v>471</v>
      </c>
      <c r="K367" s="7"/>
    </row>
    <row r="368" spans="1:11" s="2" customFormat="1" x14ac:dyDescent="0.2">
      <c r="A368" s="9">
        <v>11100064</v>
      </c>
      <c r="B368" s="4" t="s">
        <v>396</v>
      </c>
      <c r="C368" s="4" t="s">
        <v>16</v>
      </c>
      <c r="D368" s="5">
        <v>0.5</v>
      </c>
      <c r="E368" s="31">
        <v>1</v>
      </c>
      <c r="F368" s="26">
        <f t="shared" ref="F368:F373" si="33">ROUND(E368/2, 0)</f>
        <v>1</v>
      </c>
      <c r="G368" s="26">
        <f t="shared" ref="G368:G373" si="34">E368-F368</f>
        <v>0</v>
      </c>
      <c r="H368" s="26" t="str">
        <f t="shared" ref="H368:H373" si="35">IF(G368&lt;=0,"To Order", "Ok")</f>
        <v>To Order</v>
      </c>
      <c r="I368" s="6">
        <v>780</v>
      </c>
      <c r="J368" s="7" t="s">
        <v>476</v>
      </c>
      <c r="K368" s="7">
        <v>2</v>
      </c>
    </row>
    <row r="369" spans="1:11" s="2" customFormat="1" x14ac:dyDescent="0.2">
      <c r="A369" s="9">
        <v>11100065</v>
      </c>
      <c r="B369" s="4" t="s">
        <v>397</v>
      </c>
      <c r="C369" s="4" t="s">
        <v>16</v>
      </c>
      <c r="D369" s="5">
        <v>0</v>
      </c>
      <c r="E369" s="26"/>
      <c r="F369" s="26">
        <f t="shared" si="33"/>
        <v>0</v>
      </c>
      <c r="G369" s="26">
        <f t="shared" si="34"/>
        <v>0</v>
      </c>
      <c r="H369" s="26" t="str">
        <f t="shared" si="35"/>
        <v>To Order</v>
      </c>
      <c r="I369" s="6">
        <v>724</v>
      </c>
      <c r="J369" s="7" t="s">
        <v>476</v>
      </c>
      <c r="K369" s="7"/>
    </row>
    <row r="370" spans="1:11" s="2" customFormat="1" x14ac:dyDescent="0.2">
      <c r="A370" s="9">
        <v>11400009</v>
      </c>
      <c r="B370" s="4" t="s">
        <v>398</v>
      </c>
      <c r="C370" s="4" t="s">
        <v>14</v>
      </c>
      <c r="D370" s="5">
        <v>0</v>
      </c>
      <c r="E370" s="26"/>
      <c r="F370" s="26">
        <f t="shared" si="33"/>
        <v>0</v>
      </c>
      <c r="G370" s="26">
        <f t="shared" si="34"/>
        <v>0</v>
      </c>
      <c r="H370" s="26" t="str">
        <f t="shared" si="35"/>
        <v>To Order</v>
      </c>
      <c r="I370" s="6">
        <v>1488</v>
      </c>
      <c r="J370" s="7" t="s">
        <v>476</v>
      </c>
      <c r="K370" s="7"/>
    </row>
    <row r="371" spans="1:11" s="2" customFormat="1" x14ac:dyDescent="0.2">
      <c r="A371" s="9">
        <v>11300012</v>
      </c>
      <c r="B371" s="4" t="s">
        <v>399</v>
      </c>
      <c r="C371" s="4" t="s">
        <v>20</v>
      </c>
      <c r="D371" s="5">
        <v>18</v>
      </c>
      <c r="E371" s="26">
        <v>5</v>
      </c>
      <c r="F371" s="26">
        <f t="shared" si="33"/>
        <v>3</v>
      </c>
      <c r="G371" s="26">
        <f t="shared" si="34"/>
        <v>2</v>
      </c>
      <c r="H371" s="26" t="str">
        <f t="shared" si="35"/>
        <v>Ok</v>
      </c>
      <c r="I371" s="6">
        <v>298.33</v>
      </c>
      <c r="J371" s="7" t="s">
        <v>476</v>
      </c>
      <c r="K371" s="7">
        <v>2</v>
      </c>
    </row>
    <row r="372" spans="1:11" s="2" customFormat="1" x14ac:dyDescent="0.2">
      <c r="A372" s="9">
        <v>11100066</v>
      </c>
      <c r="B372" s="4" t="s">
        <v>400</v>
      </c>
      <c r="C372" s="4" t="s">
        <v>16</v>
      </c>
      <c r="D372" s="5">
        <v>0</v>
      </c>
      <c r="E372" s="26"/>
      <c r="F372" s="26">
        <f t="shared" si="33"/>
        <v>0</v>
      </c>
      <c r="G372" s="26">
        <f t="shared" si="34"/>
        <v>0</v>
      </c>
      <c r="H372" s="26" t="str">
        <f t="shared" si="35"/>
        <v>To Order</v>
      </c>
      <c r="I372" s="6">
        <v>650</v>
      </c>
      <c r="J372" s="7" t="s">
        <v>476</v>
      </c>
      <c r="K372" s="7"/>
    </row>
    <row r="373" spans="1:11" s="2" customFormat="1" x14ac:dyDescent="0.2">
      <c r="A373" s="9">
        <v>11200023</v>
      </c>
      <c r="B373" s="4" t="s">
        <v>401</v>
      </c>
      <c r="C373" s="4" t="s">
        <v>16</v>
      </c>
      <c r="D373" s="5">
        <v>70</v>
      </c>
      <c r="E373" s="26">
        <v>9</v>
      </c>
      <c r="F373" s="26">
        <f t="shared" si="33"/>
        <v>5</v>
      </c>
      <c r="G373" s="26">
        <f t="shared" si="34"/>
        <v>4</v>
      </c>
      <c r="H373" s="26" t="str">
        <f t="shared" si="35"/>
        <v>Ok</v>
      </c>
      <c r="I373" s="6">
        <v>290.60000000000002</v>
      </c>
      <c r="J373" s="7" t="s">
        <v>476</v>
      </c>
      <c r="K373" s="7">
        <v>5</v>
      </c>
    </row>
    <row r="374" spans="1:11" s="2" customFormat="1" x14ac:dyDescent="0.2">
      <c r="A374" s="9">
        <v>15100013</v>
      </c>
      <c r="B374" s="4" t="s">
        <v>402</v>
      </c>
      <c r="C374" s="4" t="s">
        <v>14</v>
      </c>
      <c r="D374" s="5">
        <v>0</v>
      </c>
      <c r="E374" s="26"/>
      <c r="F374" s="26"/>
      <c r="G374" s="26"/>
      <c r="H374" s="26"/>
      <c r="I374" s="6">
        <v>35</v>
      </c>
      <c r="J374" s="7" t="s">
        <v>473</v>
      </c>
      <c r="K374" s="7"/>
    </row>
    <row r="375" spans="1:11" s="2" customFormat="1" x14ac:dyDescent="0.2">
      <c r="A375" s="9">
        <v>10000051</v>
      </c>
      <c r="B375" s="4" t="s">
        <v>403</v>
      </c>
      <c r="C375" s="4" t="s">
        <v>8</v>
      </c>
      <c r="D375" s="5">
        <v>0</v>
      </c>
      <c r="E375" s="26"/>
      <c r="F375" s="26"/>
      <c r="G375" s="26"/>
      <c r="H375" s="26"/>
      <c r="I375" s="6">
        <v>120</v>
      </c>
      <c r="J375" s="7" t="s">
        <v>471</v>
      </c>
      <c r="K375" s="7"/>
    </row>
    <row r="376" spans="1:11" s="2" customFormat="1" x14ac:dyDescent="0.2">
      <c r="A376" s="9">
        <v>11800006</v>
      </c>
      <c r="B376" s="4" t="s">
        <v>404</v>
      </c>
      <c r="C376" s="4" t="s">
        <v>132</v>
      </c>
      <c r="D376" s="5">
        <v>0</v>
      </c>
      <c r="E376" s="26">
        <v>5</v>
      </c>
      <c r="F376" s="26">
        <f>ROUND(E376/2, 0)</f>
        <v>3</v>
      </c>
      <c r="G376" s="26">
        <f>E376-F376</f>
        <v>2</v>
      </c>
      <c r="H376" s="26" t="str">
        <f>IF(G376&lt;=0,"To Order", "Ok")</f>
        <v>Ok</v>
      </c>
      <c r="I376" s="6">
        <v>445</v>
      </c>
      <c r="J376" s="7" t="s">
        <v>476</v>
      </c>
      <c r="K376" s="7">
        <v>2</v>
      </c>
    </row>
    <row r="377" spans="1:11" s="2" customFormat="1" x14ac:dyDescent="0.2">
      <c r="A377" s="9">
        <v>10100086</v>
      </c>
      <c r="B377" s="4" t="s">
        <v>405</v>
      </c>
      <c r="C377" s="4" t="s">
        <v>16</v>
      </c>
      <c r="D377" s="5">
        <v>0</v>
      </c>
      <c r="E377" s="26">
        <v>26</v>
      </c>
      <c r="F377" s="26">
        <f>ROUND(E377/2, 0)</f>
        <v>13</v>
      </c>
      <c r="G377" s="26">
        <f>E377-F377</f>
        <v>13</v>
      </c>
      <c r="H377" s="26" t="str">
        <f>IF(G377&lt;=0,"To Order", "Ok")</f>
        <v>Ok</v>
      </c>
      <c r="I377" s="6">
        <v>120</v>
      </c>
      <c r="J377" s="7" t="s">
        <v>476</v>
      </c>
      <c r="K377" s="7">
        <v>6</v>
      </c>
    </row>
    <row r="378" spans="1:11" s="2" customFormat="1" x14ac:dyDescent="0.2">
      <c r="A378" s="9">
        <v>10100132</v>
      </c>
      <c r="B378" s="4" t="s">
        <v>406</v>
      </c>
      <c r="C378" s="4" t="s">
        <v>98</v>
      </c>
      <c r="D378" s="5">
        <v>10</v>
      </c>
      <c r="E378" s="26"/>
      <c r="F378" s="26">
        <f>ROUND(E378/2, 0)</f>
        <v>0</v>
      </c>
      <c r="G378" s="26">
        <f>E378-F378</f>
        <v>0</v>
      </c>
      <c r="H378" s="26" t="str">
        <f>IF(G378&lt;=0,"To Order", "Ok")</f>
        <v>To Order</v>
      </c>
      <c r="I378" s="6">
        <v>240</v>
      </c>
      <c r="J378" s="7" t="s">
        <v>476</v>
      </c>
      <c r="K378" s="7"/>
    </row>
    <row r="379" spans="1:11" s="2" customFormat="1" x14ac:dyDescent="0.2">
      <c r="A379" s="9">
        <v>10000016</v>
      </c>
      <c r="B379" s="4" t="s">
        <v>407</v>
      </c>
      <c r="C379" s="4" t="s">
        <v>16</v>
      </c>
      <c r="D379" s="5">
        <v>0</v>
      </c>
      <c r="E379" s="26"/>
      <c r="F379" s="26"/>
      <c r="G379" s="26"/>
      <c r="H379" s="26"/>
      <c r="I379" s="6">
        <v>150</v>
      </c>
      <c r="J379" s="7" t="s">
        <v>471</v>
      </c>
      <c r="K379" s="7"/>
    </row>
    <row r="380" spans="1:11" s="2" customFormat="1" x14ac:dyDescent="0.2">
      <c r="A380" s="9">
        <v>10100039</v>
      </c>
      <c r="B380" s="4" t="s">
        <v>408</v>
      </c>
      <c r="C380" s="4" t="s">
        <v>16</v>
      </c>
      <c r="D380" s="5">
        <v>0</v>
      </c>
      <c r="E380" s="26"/>
      <c r="F380" s="26"/>
      <c r="G380" s="26"/>
      <c r="H380" s="26"/>
      <c r="I380" s="6">
        <v>100</v>
      </c>
      <c r="J380" s="7" t="s">
        <v>471</v>
      </c>
      <c r="K380" s="7"/>
    </row>
    <row r="381" spans="1:11" s="2" customFormat="1" x14ac:dyDescent="0.2">
      <c r="A381" s="9">
        <v>10800010</v>
      </c>
      <c r="B381" s="4" t="s">
        <v>409</v>
      </c>
      <c r="C381" s="4" t="s">
        <v>14</v>
      </c>
      <c r="D381" s="5">
        <v>0</v>
      </c>
      <c r="E381" s="26"/>
      <c r="F381" s="26">
        <f>ROUND(E381/2, 0)</f>
        <v>0</v>
      </c>
      <c r="G381" s="26">
        <f>E381-F381</f>
        <v>0</v>
      </c>
      <c r="H381" s="26" t="str">
        <f>IF(G381&lt;=0,"To Order", "Ok")</f>
        <v>To Order</v>
      </c>
      <c r="I381" s="6">
        <v>470</v>
      </c>
      <c r="J381" s="7" t="s">
        <v>476</v>
      </c>
      <c r="K381" s="7"/>
    </row>
    <row r="382" spans="1:11" s="2" customFormat="1" x14ac:dyDescent="0.2">
      <c r="A382" s="9">
        <v>11800032</v>
      </c>
      <c r="B382" s="4" t="s">
        <v>410</v>
      </c>
      <c r="C382" s="4" t="s">
        <v>16</v>
      </c>
      <c r="D382" s="5">
        <v>14</v>
      </c>
      <c r="E382" s="26">
        <v>14</v>
      </c>
      <c r="F382" s="26">
        <f>ROUND(E382/2, 0)</f>
        <v>7</v>
      </c>
      <c r="G382" s="26">
        <f>E382-F382</f>
        <v>7</v>
      </c>
      <c r="H382" s="26" t="str">
        <f>IF(G382&lt;=0,"To Order", "Ok")</f>
        <v>Ok</v>
      </c>
      <c r="I382" s="6">
        <v>743</v>
      </c>
      <c r="J382" s="7" t="s">
        <v>476</v>
      </c>
      <c r="K382" s="7">
        <v>2</v>
      </c>
    </row>
    <row r="383" spans="1:11" s="2" customFormat="1" x14ac:dyDescent="0.2">
      <c r="A383" s="9">
        <v>10100087</v>
      </c>
      <c r="B383" s="4" t="s">
        <v>411</v>
      </c>
      <c r="C383" s="4" t="s">
        <v>16</v>
      </c>
      <c r="D383" s="5">
        <v>0</v>
      </c>
      <c r="E383" s="26"/>
      <c r="F383" s="26">
        <f>ROUND(E383/2, 0)</f>
        <v>0</v>
      </c>
      <c r="G383" s="26">
        <f>E383-F383</f>
        <v>0</v>
      </c>
      <c r="H383" s="26" t="str">
        <f>IF(G383&lt;=0,"To Order", "Ok")</f>
        <v>To Order</v>
      </c>
      <c r="I383" s="6">
        <v>250</v>
      </c>
      <c r="J383" s="7" t="s">
        <v>476</v>
      </c>
      <c r="K383" s="7"/>
    </row>
    <row r="384" spans="1:11" s="2" customFormat="1" x14ac:dyDescent="0.2">
      <c r="A384" s="9">
        <v>11100070</v>
      </c>
      <c r="B384" s="4" t="s">
        <v>412</v>
      </c>
      <c r="C384" s="4" t="s">
        <v>155</v>
      </c>
      <c r="D384" s="5">
        <v>4</v>
      </c>
      <c r="E384" s="26"/>
      <c r="F384" s="26">
        <f>ROUND(E384/2, 0)</f>
        <v>0</v>
      </c>
      <c r="G384" s="26">
        <f>E384-F384</f>
        <v>0</v>
      </c>
      <c r="H384" s="26" t="str">
        <f>IF(G384&lt;=0,"To Order", "Ok")</f>
        <v>To Order</v>
      </c>
      <c r="I384" s="6">
        <v>117.5</v>
      </c>
      <c r="J384" s="7" t="s">
        <v>476</v>
      </c>
      <c r="K384" s="7"/>
    </row>
    <row r="385" spans="1:11" s="2" customFormat="1" x14ac:dyDescent="0.2">
      <c r="A385" s="9">
        <v>14200006</v>
      </c>
      <c r="B385" s="4" t="s">
        <v>413</v>
      </c>
      <c r="C385" s="4" t="s">
        <v>414</v>
      </c>
      <c r="D385" s="5">
        <v>3</v>
      </c>
      <c r="E385" s="26"/>
      <c r="F385" s="26">
        <f>ROUND(E385/2, 0)</f>
        <v>0</v>
      </c>
      <c r="G385" s="26">
        <f>E385-F385</f>
        <v>0</v>
      </c>
      <c r="H385" s="26" t="str">
        <f>IF(G385&lt;=0,"To Order", "Ok")</f>
        <v>To Order</v>
      </c>
      <c r="I385" s="6">
        <v>2500</v>
      </c>
      <c r="J385" s="7" t="s">
        <v>476</v>
      </c>
      <c r="K385" s="7"/>
    </row>
    <row r="386" spans="1:11" s="2" customFormat="1" x14ac:dyDescent="0.2">
      <c r="A386" s="9">
        <v>12800045</v>
      </c>
      <c r="B386" s="4" t="s">
        <v>415</v>
      </c>
      <c r="C386" s="4" t="s">
        <v>16</v>
      </c>
      <c r="D386" s="5">
        <v>20.25</v>
      </c>
      <c r="E386" s="26"/>
      <c r="F386" s="26"/>
      <c r="G386" s="26"/>
      <c r="H386" s="26"/>
      <c r="I386" s="6">
        <v>1050</v>
      </c>
      <c r="J386" s="7" t="s">
        <v>472</v>
      </c>
      <c r="K386" s="7"/>
    </row>
    <row r="387" spans="1:11" s="2" customFormat="1" x14ac:dyDescent="0.2">
      <c r="A387" s="9">
        <v>12300002</v>
      </c>
      <c r="B387" s="4" t="s">
        <v>416</v>
      </c>
      <c r="C387" s="4" t="s">
        <v>16</v>
      </c>
      <c r="D387" s="5">
        <v>11</v>
      </c>
      <c r="E387" s="26">
        <v>14</v>
      </c>
      <c r="F387" s="26">
        <f>ROUND(E387/2, 0)</f>
        <v>7</v>
      </c>
      <c r="G387" s="26">
        <f>E387-F387</f>
        <v>7</v>
      </c>
      <c r="H387" s="26" t="str">
        <f>IF(G387&lt;=0,"To Order", "Ok")</f>
        <v>Ok</v>
      </c>
      <c r="I387" s="6">
        <v>220</v>
      </c>
      <c r="J387" s="7" t="s">
        <v>476</v>
      </c>
      <c r="K387" s="7">
        <v>6</v>
      </c>
    </row>
    <row r="388" spans="1:11" s="2" customFormat="1" x14ac:dyDescent="0.2">
      <c r="A388" s="9">
        <v>11100155</v>
      </c>
      <c r="B388" s="4" t="s">
        <v>417</v>
      </c>
      <c r="C388" s="4" t="s">
        <v>42</v>
      </c>
      <c r="D388" s="5">
        <v>9</v>
      </c>
      <c r="E388" s="26">
        <v>4</v>
      </c>
      <c r="F388" s="26">
        <f>ROUND(E388/2, 0)</f>
        <v>2</v>
      </c>
      <c r="G388" s="26">
        <f>E388-F388</f>
        <v>2</v>
      </c>
      <c r="H388" s="26" t="str">
        <f>IF(G388&lt;=0,"To Order", "Ok")</f>
        <v>Ok</v>
      </c>
      <c r="I388" s="6">
        <v>144</v>
      </c>
      <c r="J388" s="7" t="s">
        <v>476</v>
      </c>
      <c r="K388" s="7">
        <v>1</v>
      </c>
    </row>
    <row r="389" spans="1:11" s="2" customFormat="1" x14ac:dyDescent="0.2">
      <c r="A389" s="9">
        <v>10700006</v>
      </c>
      <c r="B389" s="4" t="s">
        <v>418</v>
      </c>
      <c r="C389" s="4" t="s">
        <v>42</v>
      </c>
      <c r="D389" s="5">
        <v>10</v>
      </c>
      <c r="E389" s="26">
        <v>5</v>
      </c>
      <c r="F389" s="26">
        <f>ROUND(E389/2, 0)</f>
        <v>3</v>
      </c>
      <c r="G389" s="26">
        <f>E389-F389</f>
        <v>2</v>
      </c>
      <c r="H389" s="26" t="str">
        <f>IF(G389&lt;=0,"To Order", "Ok")</f>
        <v>Ok</v>
      </c>
      <c r="I389" s="6">
        <v>650</v>
      </c>
      <c r="J389" s="7" t="s">
        <v>476</v>
      </c>
      <c r="K389" s="7">
        <v>1</v>
      </c>
    </row>
    <row r="390" spans="1:11" s="2" customFormat="1" x14ac:dyDescent="0.2">
      <c r="A390" s="9">
        <v>10100055</v>
      </c>
      <c r="B390" s="4" t="s">
        <v>419</v>
      </c>
      <c r="C390" s="4" t="s">
        <v>8</v>
      </c>
      <c r="D390" s="5">
        <v>0</v>
      </c>
      <c r="E390" s="26"/>
      <c r="F390" s="26"/>
      <c r="G390" s="26"/>
      <c r="H390" s="26"/>
      <c r="I390" s="6">
        <v>30</v>
      </c>
      <c r="J390" s="7" t="s">
        <v>471</v>
      </c>
      <c r="K390" s="7"/>
    </row>
    <row r="391" spans="1:11" s="2" customFormat="1" x14ac:dyDescent="0.2">
      <c r="A391" s="9">
        <v>10100007</v>
      </c>
      <c r="B391" s="4" t="s">
        <v>420</v>
      </c>
      <c r="C391" s="4" t="s">
        <v>12</v>
      </c>
      <c r="D391" s="5">
        <v>0</v>
      </c>
      <c r="E391" s="26">
        <v>6</v>
      </c>
      <c r="F391" s="26">
        <f>ROUND(E391/2, 0)</f>
        <v>3</v>
      </c>
      <c r="G391" s="26">
        <f>E391-F391</f>
        <v>3</v>
      </c>
      <c r="H391" s="26" t="str">
        <f>IF(G391&lt;=0,"To Order", "Ok")</f>
        <v>Ok</v>
      </c>
      <c r="I391" s="6">
        <v>30</v>
      </c>
      <c r="J391" s="7" t="s">
        <v>476</v>
      </c>
      <c r="K391" s="7">
        <v>1</v>
      </c>
    </row>
    <row r="392" spans="1:11" s="2" customFormat="1" x14ac:dyDescent="0.2">
      <c r="A392" s="9">
        <v>13300001</v>
      </c>
      <c r="B392" s="4" t="s">
        <v>421</v>
      </c>
      <c r="C392" s="4" t="s">
        <v>16</v>
      </c>
      <c r="D392" s="5">
        <v>7.4999999999999997E-3</v>
      </c>
      <c r="E392" s="26"/>
      <c r="F392" s="26"/>
      <c r="G392" s="26"/>
      <c r="H392" s="26"/>
      <c r="I392" s="6">
        <v>980</v>
      </c>
      <c r="J392" s="7" t="s">
        <v>472</v>
      </c>
      <c r="K392" s="7">
        <v>10</v>
      </c>
    </row>
    <row r="393" spans="1:11" s="2" customFormat="1" x14ac:dyDescent="0.2">
      <c r="A393" s="9">
        <v>11800015</v>
      </c>
      <c r="B393" s="4" t="s">
        <v>422</v>
      </c>
      <c r="C393" s="4" t="s">
        <v>132</v>
      </c>
      <c r="D393" s="5">
        <v>0</v>
      </c>
      <c r="E393" s="26">
        <v>6</v>
      </c>
      <c r="F393" s="26">
        <f t="shared" ref="F393:F398" si="36">ROUND(E393/2, 0)</f>
        <v>3</v>
      </c>
      <c r="G393" s="26">
        <f t="shared" ref="G393:G398" si="37">E393-F393</f>
        <v>3</v>
      </c>
      <c r="H393" s="26" t="str">
        <f t="shared" ref="H393:H398" si="38">IF(G393&lt;=0,"To Order", "Ok")</f>
        <v>Ok</v>
      </c>
      <c r="I393" s="6">
        <v>330</v>
      </c>
      <c r="J393" s="7" t="s">
        <v>476</v>
      </c>
      <c r="K393" s="7">
        <v>3</v>
      </c>
    </row>
    <row r="394" spans="1:11" s="2" customFormat="1" x14ac:dyDescent="0.2">
      <c r="A394" s="9">
        <v>11800026</v>
      </c>
      <c r="B394" s="4" t="s">
        <v>423</v>
      </c>
      <c r="C394" s="4" t="s">
        <v>20</v>
      </c>
      <c r="D394" s="5">
        <v>15</v>
      </c>
      <c r="E394" s="26">
        <v>8</v>
      </c>
      <c r="F394" s="26">
        <f t="shared" si="36"/>
        <v>4</v>
      </c>
      <c r="G394" s="26">
        <f t="shared" si="37"/>
        <v>4</v>
      </c>
      <c r="H394" s="26" t="str">
        <f t="shared" si="38"/>
        <v>Ok</v>
      </c>
      <c r="I394" s="6">
        <v>185</v>
      </c>
      <c r="J394" s="7" t="s">
        <v>476</v>
      </c>
      <c r="K394" s="7">
        <v>4</v>
      </c>
    </row>
    <row r="395" spans="1:11" s="2" customFormat="1" x14ac:dyDescent="0.2">
      <c r="A395" s="9">
        <v>11800010</v>
      </c>
      <c r="B395" s="4" t="s">
        <v>424</v>
      </c>
      <c r="C395" s="4" t="s">
        <v>127</v>
      </c>
      <c r="D395" s="5">
        <v>1</v>
      </c>
      <c r="E395" s="26"/>
      <c r="F395" s="26">
        <f t="shared" si="36"/>
        <v>0</v>
      </c>
      <c r="G395" s="26">
        <f t="shared" si="37"/>
        <v>0</v>
      </c>
      <c r="H395" s="26" t="str">
        <f t="shared" si="38"/>
        <v>To Order</v>
      </c>
      <c r="I395" s="6">
        <v>2980</v>
      </c>
      <c r="J395" s="7" t="s">
        <v>476</v>
      </c>
      <c r="K395" s="7"/>
    </row>
    <row r="396" spans="1:11" s="2" customFormat="1" x14ac:dyDescent="0.2">
      <c r="A396" s="9">
        <v>11800034</v>
      </c>
      <c r="B396" s="4" t="s">
        <v>425</v>
      </c>
      <c r="C396" s="4" t="s">
        <v>332</v>
      </c>
      <c r="D396" s="5">
        <v>12.571428571428571</v>
      </c>
      <c r="E396" s="26"/>
      <c r="F396" s="26">
        <f t="shared" si="36"/>
        <v>0</v>
      </c>
      <c r="G396" s="26">
        <f t="shared" si="37"/>
        <v>0</v>
      </c>
      <c r="H396" s="26" t="str">
        <f t="shared" si="38"/>
        <v>To Order</v>
      </c>
      <c r="I396" s="6">
        <v>147</v>
      </c>
      <c r="J396" s="7" t="s">
        <v>476</v>
      </c>
      <c r="K396" s="7"/>
    </row>
    <row r="397" spans="1:11" s="2" customFormat="1" x14ac:dyDescent="0.2">
      <c r="A397" s="9">
        <v>11800020</v>
      </c>
      <c r="B397" s="4" t="s">
        <v>426</v>
      </c>
      <c r="C397" s="4" t="s">
        <v>14</v>
      </c>
      <c r="D397" s="5">
        <v>10</v>
      </c>
      <c r="E397" s="26">
        <v>15</v>
      </c>
      <c r="F397" s="26">
        <f t="shared" si="36"/>
        <v>8</v>
      </c>
      <c r="G397" s="26">
        <f t="shared" si="37"/>
        <v>7</v>
      </c>
      <c r="H397" s="26" t="str">
        <f t="shared" si="38"/>
        <v>Ok</v>
      </c>
      <c r="I397" s="6">
        <v>352</v>
      </c>
      <c r="J397" s="7" t="s">
        <v>476</v>
      </c>
      <c r="K397" s="7">
        <v>5</v>
      </c>
    </row>
    <row r="398" spans="1:11" s="2" customFormat="1" x14ac:dyDescent="0.2">
      <c r="A398" s="9">
        <v>11800009</v>
      </c>
      <c r="B398" s="4" t="s">
        <v>427</v>
      </c>
      <c r="C398" s="4" t="s">
        <v>127</v>
      </c>
      <c r="D398" s="5">
        <v>2</v>
      </c>
      <c r="E398" s="26">
        <v>2</v>
      </c>
      <c r="F398" s="26">
        <f t="shared" si="36"/>
        <v>1</v>
      </c>
      <c r="G398" s="26">
        <f t="shared" si="37"/>
        <v>1</v>
      </c>
      <c r="H398" s="26" t="str">
        <f t="shared" si="38"/>
        <v>Ok</v>
      </c>
      <c r="I398" s="6">
        <v>850</v>
      </c>
      <c r="J398" s="7" t="s">
        <v>476</v>
      </c>
      <c r="K398" s="7"/>
    </row>
    <row r="399" spans="1:11" s="2" customFormat="1" x14ac:dyDescent="0.2">
      <c r="A399" s="9">
        <v>10100041</v>
      </c>
      <c r="B399" s="4" t="s">
        <v>428</v>
      </c>
      <c r="C399" s="4" t="s">
        <v>16</v>
      </c>
      <c r="D399" s="5">
        <v>0</v>
      </c>
      <c r="E399" s="26"/>
      <c r="F399" s="26"/>
      <c r="G399" s="26"/>
      <c r="H399" s="26"/>
      <c r="I399" s="6">
        <v>60</v>
      </c>
      <c r="J399" s="7" t="s">
        <v>471</v>
      </c>
      <c r="K399" s="7"/>
    </row>
    <row r="400" spans="1:11" s="2" customFormat="1" x14ac:dyDescent="0.2">
      <c r="A400" s="9">
        <v>10000036</v>
      </c>
      <c r="B400" s="4" t="s">
        <v>429</v>
      </c>
      <c r="C400" s="4" t="s">
        <v>16</v>
      </c>
      <c r="D400" s="5">
        <v>0</v>
      </c>
      <c r="E400" s="26"/>
      <c r="F400" s="26"/>
      <c r="G400" s="26"/>
      <c r="H400" s="26"/>
      <c r="I400" s="6">
        <v>85</v>
      </c>
      <c r="J400" s="7" t="s">
        <v>471</v>
      </c>
      <c r="K400" s="7"/>
    </row>
    <row r="401" spans="1:11" s="2" customFormat="1" x14ac:dyDescent="0.2">
      <c r="A401" s="9">
        <v>11800028</v>
      </c>
      <c r="B401" s="4" t="s">
        <v>430</v>
      </c>
      <c r="C401" s="4" t="s">
        <v>16</v>
      </c>
      <c r="D401" s="5">
        <v>18.8</v>
      </c>
      <c r="E401" s="26"/>
      <c r="F401" s="26"/>
      <c r="G401" s="26"/>
      <c r="H401" s="26"/>
      <c r="I401" s="6">
        <v>259.09100000000001</v>
      </c>
      <c r="J401" s="7" t="s">
        <v>472</v>
      </c>
      <c r="K401" s="7"/>
    </row>
    <row r="402" spans="1:11" s="2" customFormat="1" x14ac:dyDescent="0.2">
      <c r="A402" s="9">
        <v>12800002</v>
      </c>
      <c r="B402" s="4" t="s">
        <v>431</v>
      </c>
      <c r="C402" s="4" t="s">
        <v>16</v>
      </c>
      <c r="D402" s="5">
        <v>15</v>
      </c>
      <c r="E402" s="26"/>
      <c r="F402" s="26"/>
      <c r="G402" s="26"/>
      <c r="H402" s="26"/>
      <c r="I402" s="6">
        <v>750</v>
      </c>
      <c r="J402" s="7" t="s">
        <v>472</v>
      </c>
      <c r="K402" s="7"/>
    </row>
    <row r="403" spans="1:11" s="2" customFormat="1" x14ac:dyDescent="0.2">
      <c r="A403" s="9">
        <v>10000017</v>
      </c>
      <c r="B403" s="4" t="s">
        <v>432</v>
      </c>
      <c r="C403" s="4" t="s">
        <v>16</v>
      </c>
      <c r="D403" s="5">
        <v>0</v>
      </c>
      <c r="E403" s="26"/>
      <c r="F403" s="26"/>
      <c r="G403" s="26"/>
      <c r="H403" s="26"/>
      <c r="I403" s="6">
        <v>200</v>
      </c>
      <c r="J403" s="7" t="s">
        <v>471</v>
      </c>
      <c r="K403" s="7"/>
    </row>
    <row r="404" spans="1:11" s="2" customFormat="1" x14ac:dyDescent="0.2">
      <c r="A404" s="9">
        <v>11400018</v>
      </c>
      <c r="B404" s="4" t="s">
        <v>433</v>
      </c>
      <c r="C404" s="4" t="s">
        <v>14</v>
      </c>
      <c r="D404" s="5">
        <v>6</v>
      </c>
      <c r="E404" s="26">
        <v>1</v>
      </c>
      <c r="F404" s="26">
        <f t="shared" ref="F404:F411" si="39">ROUND(E404/2, 0)</f>
        <v>1</v>
      </c>
      <c r="G404" s="26">
        <f t="shared" ref="G404:G411" si="40">E404-F404</f>
        <v>0</v>
      </c>
      <c r="H404" s="26" t="str">
        <f t="shared" ref="H404:H411" si="41">IF(G404&lt;=0,"To Order", "Ok")</f>
        <v>To Order</v>
      </c>
      <c r="I404" s="6">
        <v>150</v>
      </c>
      <c r="J404" s="7" t="s">
        <v>476</v>
      </c>
      <c r="K404" s="7"/>
    </row>
    <row r="405" spans="1:11" s="2" customFormat="1" x14ac:dyDescent="0.2">
      <c r="A405" s="9">
        <v>11300003</v>
      </c>
      <c r="B405" s="4" t="s">
        <v>434</v>
      </c>
      <c r="C405" s="4" t="s">
        <v>20</v>
      </c>
      <c r="D405" s="5">
        <v>2</v>
      </c>
      <c r="E405" s="26"/>
      <c r="F405" s="26">
        <f t="shared" si="39"/>
        <v>0</v>
      </c>
      <c r="G405" s="26">
        <f t="shared" si="40"/>
        <v>0</v>
      </c>
      <c r="H405" s="26" t="str">
        <f t="shared" si="41"/>
        <v>To Order</v>
      </c>
      <c r="I405" s="6">
        <v>1700</v>
      </c>
      <c r="J405" s="7" t="s">
        <v>476</v>
      </c>
      <c r="K405" s="7"/>
    </row>
    <row r="406" spans="1:11" s="2" customFormat="1" x14ac:dyDescent="0.2">
      <c r="A406" s="9">
        <v>10800033</v>
      </c>
      <c r="B406" s="4" t="s">
        <v>435</v>
      </c>
      <c r="C406" s="4" t="s">
        <v>16</v>
      </c>
      <c r="D406" s="5">
        <v>1.5</v>
      </c>
      <c r="E406" s="26"/>
      <c r="F406" s="26">
        <f t="shared" si="39"/>
        <v>0</v>
      </c>
      <c r="G406" s="26">
        <f t="shared" si="40"/>
        <v>0</v>
      </c>
      <c r="H406" s="26" t="str">
        <f t="shared" si="41"/>
        <v>To Order</v>
      </c>
      <c r="I406" s="6">
        <v>830</v>
      </c>
      <c r="J406" s="7" t="s">
        <v>476</v>
      </c>
      <c r="K406" s="7"/>
    </row>
    <row r="407" spans="1:11" s="2" customFormat="1" x14ac:dyDescent="0.2">
      <c r="A407" s="9">
        <v>11100072</v>
      </c>
      <c r="B407" s="4" t="s">
        <v>436</v>
      </c>
      <c r="C407" s="4" t="s">
        <v>12</v>
      </c>
      <c r="D407" s="5">
        <v>0</v>
      </c>
      <c r="E407" s="26"/>
      <c r="F407" s="26">
        <f t="shared" si="39"/>
        <v>0</v>
      </c>
      <c r="G407" s="26">
        <f t="shared" si="40"/>
        <v>0</v>
      </c>
      <c r="H407" s="26" t="str">
        <f t="shared" si="41"/>
        <v>To Order</v>
      </c>
      <c r="I407" s="6">
        <v>344.82758999999999</v>
      </c>
      <c r="J407" s="7" t="s">
        <v>476</v>
      </c>
      <c r="K407" s="7"/>
    </row>
    <row r="408" spans="1:11" s="2" customFormat="1" x14ac:dyDescent="0.2">
      <c r="A408" s="9">
        <v>10800049</v>
      </c>
      <c r="B408" s="4" t="s">
        <v>437</v>
      </c>
      <c r="C408" s="4" t="s">
        <v>16</v>
      </c>
      <c r="D408" s="5">
        <v>12</v>
      </c>
      <c r="E408" s="26">
        <v>4</v>
      </c>
      <c r="F408" s="26">
        <f t="shared" si="39"/>
        <v>2</v>
      </c>
      <c r="G408" s="26">
        <f t="shared" si="40"/>
        <v>2</v>
      </c>
      <c r="H408" s="26" t="str">
        <f t="shared" si="41"/>
        <v>Ok</v>
      </c>
      <c r="I408" s="6">
        <v>215.517</v>
      </c>
      <c r="J408" s="7" t="s">
        <v>476</v>
      </c>
      <c r="K408" s="7">
        <v>2</v>
      </c>
    </row>
    <row r="409" spans="1:11" s="2" customFormat="1" x14ac:dyDescent="0.2">
      <c r="A409" s="9">
        <v>10600005</v>
      </c>
      <c r="B409" s="4" t="s">
        <v>438</v>
      </c>
      <c r="C409" s="4" t="s">
        <v>20</v>
      </c>
      <c r="D409" s="5">
        <v>0</v>
      </c>
      <c r="E409" s="26">
        <v>5</v>
      </c>
      <c r="F409" s="26">
        <f t="shared" si="39"/>
        <v>3</v>
      </c>
      <c r="G409" s="26">
        <f t="shared" si="40"/>
        <v>2</v>
      </c>
      <c r="H409" s="26" t="str">
        <f t="shared" si="41"/>
        <v>Ok</v>
      </c>
      <c r="I409" s="6">
        <v>180</v>
      </c>
      <c r="J409" s="7" t="s">
        <v>476</v>
      </c>
      <c r="K409" s="7">
        <v>3</v>
      </c>
    </row>
    <row r="410" spans="1:11" s="2" customFormat="1" x14ac:dyDescent="0.2">
      <c r="A410" s="9">
        <v>10600012</v>
      </c>
      <c r="B410" s="4" t="s">
        <v>439</v>
      </c>
      <c r="C410" s="4" t="s">
        <v>20</v>
      </c>
      <c r="D410" s="5">
        <v>0</v>
      </c>
      <c r="E410" s="26"/>
      <c r="F410" s="26">
        <f t="shared" si="39"/>
        <v>0</v>
      </c>
      <c r="G410" s="26">
        <f t="shared" si="40"/>
        <v>0</v>
      </c>
      <c r="H410" s="26" t="str">
        <f t="shared" si="41"/>
        <v>To Order</v>
      </c>
      <c r="I410" s="6">
        <v>600</v>
      </c>
      <c r="J410" s="7" t="s">
        <v>476</v>
      </c>
      <c r="K410" s="7"/>
    </row>
    <row r="411" spans="1:11" s="2" customFormat="1" x14ac:dyDescent="0.2">
      <c r="A411" s="9">
        <v>10800050</v>
      </c>
      <c r="B411" s="4" t="s">
        <v>440</v>
      </c>
      <c r="C411" s="4" t="s">
        <v>16</v>
      </c>
      <c r="D411" s="5">
        <v>4</v>
      </c>
      <c r="E411" s="26"/>
      <c r="F411" s="26">
        <f t="shared" si="39"/>
        <v>0</v>
      </c>
      <c r="G411" s="26">
        <f t="shared" si="40"/>
        <v>0</v>
      </c>
      <c r="H411" s="26" t="str">
        <f t="shared" si="41"/>
        <v>To Order</v>
      </c>
      <c r="I411" s="6">
        <v>443</v>
      </c>
      <c r="J411" s="7" t="s">
        <v>476</v>
      </c>
      <c r="K411" s="7"/>
    </row>
    <row r="412" spans="1:11" s="2" customFormat="1" x14ac:dyDescent="0.2">
      <c r="A412" s="9">
        <v>12800007</v>
      </c>
      <c r="B412" s="4" t="s">
        <v>441</v>
      </c>
      <c r="C412" s="4" t="s">
        <v>16</v>
      </c>
      <c r="D412" s="5">
        <v>0</v>
      </c>
      <c r="E412" s="26"/>
      <c r="F412" s="26"/>
      <c r="G412" s="26"/>
      <c r="H412" s="26"/>
      <c r="I412" s="6">
        <v>0</v>
      </c>
      <c r="J412" s="7" t="s">
        <v>472</v>
      </c>
      <c r="K412" s="7"/>
    </row>
    <row r="413" spans="1:11" s="2" customFormat="1" x14ac:dyDescent="0.2">
      <c r="A413" s="9">
        <v>11100079</v>
      </c>
      <c r="B413" s="4" t="s">
        <v>442</v>
      </c>
      <c r="C413" s="4" t="s">
        <v>16</v>
      </c>
      <c r="D413" s="5">
        <v>1</v>
      </c>
      <c r="E413" s="26">
        <v>3</v>
      </c>
      <c r="F413" s="26">
        <f>ROUND(E413/2, 0)</f>
        <v>2</v>
      </c>
      <c r="G413" s="26">
        <f>E413-F413</f>
        <v>1</v>
      </c>
      <c r="H413" s="26" t="str">
        <f>IF(G413&lt;=0,"To Order", "Ok")</f>
        <v>Ok</v>
      </c>
      <c r="I413" s="6">
        <v>294</v>
      </c>
      <c r="J413" s="7" t="s">
        <v>476</v>
      </c>
      <c r="K413" s="7">
        <v>3</v>
      </c>
    </row>
    <row r="414" spans="1:11" s="2" customFormat="1" x14ac:dyDescent="0.2">
      <c r="A414" s="9">
        <v>10400003</v>
      </c>
      <c r="B414" s="4" t="s">
        <v>443</v>
      </c>
      <c r="C414" s="4" t="s">
        <v>20</v>
      </c>
      <c r="D414" s="5">
        <v>20</v>
      </c>
      <c r="E414" s="26"/>
      <c r="F414" s="26"/>
      <c r="G414" s="26"/>
      <c r="H414" s="26"/>
      <c r="I414" s="6">
        <v>198.27500000000001</v>
      </c>
      <c r="J414" s="7" t="s">
        <v>472</v>
      </c>
      <c r="K414" s="7"/>
    </row>
    <row r="415" spans="1:11" s="2" customFormat="1" x14ac:dyDescent="0.2">
      <c r="A415" s="9">
        <v>10200003</v>
      </c>
      <c r="B415" s="4" t="s">
        <v>444</v>
      </c>
      <c r="C415" s="4" t="s">
        <v>16</v>
      </c>
      <c r="D415" s="5">
        <v>50</v>
      </c>
      <c r="E415" s="26">
        <v>3</v>
      </c>
      <c r="F415" s="26">
        <f>ROUND(E415/2, 0)</f>
        <v>2</v>
      </c>
      <c r="G415" s="26">
        <f>E415-F415</f>
        <v>1</v>
      </c>
      <c r="H415" s="26" t="str">
        <f>IF(G415&lt;=0,"To Order", "Ok")</f>
        <v>Ok</v>
      </c>
      <c r="I415" s="6">
        <v>215.8</v>
      </c>
      <c r="J415" s="7" t="s">
        <v>476</v>
      </c>
      <c r="K415" s="7"/>
    </row>
    <row r="416" spans="1:11" s="2" customFormat="1" x14ac:dyDescent="0.2">
      <c r="A416" s="9">
        <v>11300011</v>
      </c>
      <c r="B416" s="4" t="s">
        <v>445</v>
      </c>
      <c r="C416" s="4" t="s">
        <v>20</v>
      </c>
      <c r="D416" s="5">
        <v>100</v>
      </c>
      <c r="E416" s="26">
        <v>5</v>
      </c>
      <c r="F416" s="26">
        <f>ROUND(E416/2, 0)</f>
        <v>3</v>
      </c>
      <c r="G416" s="26">
        <f>E416-F416</f>
        <v>2</v>
      </c>
      <c r="H416" s="26" t="str">
        <f>IF(G416&lt;=0,"To Order", "Ok")</f>
        <v>Ok</v>
      </c>
      <c r="I416" s="6">
        <v>227.1</v>
      </c>
      <c r="J416" s="7" t="s">
        <v>476</v>
      </c>
      <c r="K416" s="7">
        <v>3</v>
      </c>
    </row>
    <row r="417" spans="1:11" s="2" customFormat="1" x14ac:dyDescent="0.2">
      <c r="A417" s="9">
        <v>10100089</v>
      </c>
      <c r="B417" s="4" t="s">
        <v>446</v>
      </c>
      <c r="C417" s="4" t="s">
        <v>14</v>
      </c>
      <c r="D417" s="5">
        <v>100</v>
      </c>
      <c r="E417" s="26"/>
      <c r="F417" s="26"/>
      <c r="G417" s="26"/>
      <c r="H417" s="26"/>
      <c r="I417" s="6">
        <v>23</v>
      </c>
      <c r="J417" s="7" t="s">
        <v>472</v>
      </c>
      <c r="K417" s="7"/>
    </row>
    <row r="418" spans="1:11" s="2" customFormat="1" x14ac:dyDescent="0.2">
      <c r="A418" s="9">
        <v>10100090</v>
      </c>
      <c r="B418" s="4" t="s">
        <v>447</v>
      </c>
      <c r="C418" s="4" t="s">
        <v>14</v>
      </c>
      <c r="D418" s="5">
        <v>50</v>
      </c>
      <c r="E418" s="26"/>
      <c r="F418" s="26"/>
      <c r="G418" s="26"/>
      <c r="H418" s="26"/>
      <c r="I418" s="6">
        <v>27</v>
      </c>
      <c r="J418" s="7" t="s">
        <v>472</v>
      </c>
      <c r="K418" s="7"/>
    </row>
    <row r="419" spans="1:11" s="2" customFormat="1" x14ac:dyDescent="0.2">
      <c r="A419" s="9">
        <v>12800018</v>
      </c>
      <c r="B419" s="4" t="s">
        <v>448</v>
      </c>
      <c r="C419" s="4" t="s">
        <v>16</v>
      </c>
      <c r="D419" s="5">
        <v>0</v>
      </c>
      <c r="E419" s="26"/>
      <c r="F419" s="26"/>
      <c r="G419" s="26"/>
      <c r="H419" s="26"/>
      <c r="I419" s="6">
        <v>1100</v>
      </c>
      <c r="J419" s="7" t="s">
        <v>472</v>
      </c>
      <c r="K419" s="7"/>
    </row>
    <row r="420" spans="1:11" s="2" customFormat="1" x14ac:dyDescent="0.2">
      <c r="A420" s="9">
        <v>11500002</v>
      </c>
      <c r="B420" s="4" t="s">
        <v>449</v>
      </c>
      <c r="C420" s="4" t="s">
        <v>16</v>
      </c>
      <c r="D420" s="5">
        <v>2</v>
      </c>
      <c r="E420" s="26">
        <v>2</v>
      </c>
      <c r="F420" s="26">
        <f>ROUND(E420/2, 0)</f>
        <v>1</v>
      </c>
      <c r="G420" s="26">
        <f>E420-F420</f>
        <v>1</v>
      </c>
      <c r="H420" s="26" t="str">
        <f>IF(G420&lt;=0,"To Order", "Ok")</f>
        <v>Ok</v>
      </c>
      <c r="I420" s="6">
        <v>1265</v>
      </c>
      <c r="J420" s="7" t="s">
        <v>476</v>
      </c>
      <c r="K420" s="7">
        <v>2</v>
      </c>
    </row>
    <row r="421" spans="1:11" s="2" customFormat="1" x14ac:dyDescent="0.2">
      <c r="A421" s="9">
        <v>10000018</v>
      </c>
      <c r="B421" s="4" t="s">
        <v>450</v>
      </c>
      <c r="C421" s="4" t="s">
        <v>16</v>
      </c>
      <c r="D421" s="5">
        <v>0</v>
      </c>
      <c r="E421" s="26"/>
      <c r="F421" s="26"/>
      <c r="G421" s="26"/>
      <c r="H421" s="26"/>
      <c r="I421" s="6">
        <v>45</v>
      </c>
      <c r="J421" s="7" t="s">
        <v>471</v>
      </c>
      <c r="K421" s="7"/>
    </row>
    <row r="422" spans="1:11" s="2" customFormat="1" x14ac:dyDescent="0.2">
      <c r="A422" s="9">
        <v>10800071</v>
      </c>
      <c r="B422" s="4" t="s">
        <v>451</v>
      </c>
      <c r="C422" s="4" t="s">
        <v>16</v>
      </c>
      <c r="D422" s="5">
        <v>16</v>
      </c>
      <c r="E422" s="26">
        <v>18</v>
      </c>
      <c r="F422" s="26">
        <f>ROUND(E422/2, 0)</f>
        <v>9</v>
      </c>
      <c r="G422" s="26">
        <f>E422-F422</f>
        <v>9</v>
      </c>
      <c r="H422" s="26" t="str">
        <f>IF(G422&lt;=0,"To Order", "Ok")</f>
        <v>Ok</v>
      </c>
      <c r="I422" s="6">
        <v>660</v>
      </c>
      <c r="J422" s="7" t="s">
        <v>476</v>
      </c>
      <c r="K422" s="7">
        <v>5</v>
      </c>
    </row>
    <row r="423" spans="1:11" s="2" customFormat="1" x14ac:dyDescent="0.2">
      <c r="A423" s="9">
        <v>10800039</v>
      </c>
      <c r="B423" s="4" t="s">
        <v>452</v>
      </c>
      <c r="C423" s="4" t="s">
        <v>24</v>
      </c>
      <c r="D423" s="5">
        <v>6</v>
      </c>
      <c r="E423" s="26">
        <v>2</v>
      </c>
      <c r="F423" s="26">
        <f>ROUND(E423/2, 0)</f>
        <v>1</v>
      </c>
      <c r="G423" s="26">
        <f>E423-F423</f>
        <v>1</v>
      </c>
      <c r="H423" s="26" t="str">
        <f>IF(G423&lt;=0,"To Order", "Ok")</f>
        <v>Ok</v>
      </c>
      <c r="I423" s="6">
        <v>304</v>
      </c>
      <c r="J423" s="7" t="s">
        <v>476</v>
      </c>
      <c r="K423" s="7">
        <v>5</v>
      </c>
    </row>
    <row r="424" spans="1:11" s="2" customFormat="1" x14ac:dyDescent="0.2">
      <c r="A424" s="9">
        <v>10600013</v>
      </c>
      <c r="B424" s="4" t="s">
        <v>453</v>
      </c>
      <c r="C424" s="4" t="s">
        <v>20</v>
      </c>
      <c r="D424" s="5">
        <v>6</v>
      </c>
      <c r="E424" s="26">
        <v>3</v>
      </c>
      <c r="F424" s="26">
        <f>ROUND(E424/2, 0)</f>
        <v>2</v>
      </c>
      <c r="G424" s="26">
        <f>E424-F424</f>
        <v>1</v>
      </c>
      <c r="H424" s="26" t="str">
        <f>IF(G424&lt;=0,"To Order", "Ok")</f>
        <v>Ok</v>
      </c>
      <c r="I424" s="6">
        <v>600</v>
      </c>
      <c r="J424" s="7" t="s">
        <v>476</v>
      </c>
      <c r="K424" s="7">
        <v>3</v>
      </c>
    </row>
    <row r="425" spans="1:11" s="2" customFormat="1" x14ac:dyDescent="0.2">
      <c r="A425" s="9">
        <v>10100042</v>
      </c>
      <c r="B425" s="4" t="s">
        <v>454</v>
      </c>
      <c r="C425" s="4" t="s">
        <v>16</v>
      </c>
      <c r="D425" s="5">
        <v>0</v>
      </c>
      <c r="E425" s="26"/>
      <c r="F425" s="26"/>
      <c r="G425" s="26"/>
      <c r="H425" s="26"/>
      <c r="I425" s="6">
        <v>40</v>
      </c>
      <c r="J425" s="7" t="s">
        <v>471</v>
      </c>
      <c r="K425" s="7"/>
    </row>
    <row r="426" spans="1:11" s="2" customFormat="1" x14ac:dyDescent="0.2">
      <c r="A426" s="9">
        <v>11100138</v>
      </c>
      <c r="B426" s="4" t="s">
        <v>455</v>
      </c>
      <c r="C426" s="4" t="s">
        <v>199</v>
      </c>
      <c r="D426" s="5">
        <v>996</v>
      </c>
      <c r="E426" s="26"/>
      <c r="F426" s="26">
        <f>ROUND(E426/2, 0)</f>
        <v>0</v>
      </c>
      <c r="G426" s="26">
        <f>E426-F426</f>
        <v>0</v>
      </c>
      <c r="H426" s="26" t="str">
        <f>IF(G426&lt;=0,"To Order", "Ok")</f>
        <v>To Order</v>
      </c>
      <c r="I426" s="6">
        <v>0.56000000000000005</v>
      </c>
      <c r="J426" s="7" t="s">
        <v>476</v>
      </c>
      <c r="K426" s="7">
        <v>1</v>
      </c>
    </row>
    <row r="427" spans="1:11" s="2" customFormat="1" x14ac:dyDescent="0.2">
      <c r="A427" s="9">
        <v>16300022</v>
      </c>
      <c r="B427" s="4" t="s">
        <v>456</v>
      </c>
      <c r="C427" s="4" t="s">
        <v>14</v>
      </c>
      <c r="D427" s="5">
        <v>0</v>
      </c>
      <c r="E427" s="26"/>
      <c r="F427" s="26"/>
      <c r="G427" s="26"/>
      <c r="H427" s="26"/>
      <c r="I427" s="6">
        <v>79.022999999999996</v>
      </c>
      <c r="J427" s="7" t="s">
        <v>473</v>
      </c>
      <c r="K427" s="7">
        <v>20</v>
      </c>
    </row>
    <row r="428" spans="1:11" s="2" customFormat="1" x14ac:dyDescent="0.2">
      <c r="A428" s="9">
        <v>11400010</v>
      </c>
      <c r="B428" s="4" t="s">
        <v>457</v>
      </c>
      <c r="C428" s="4" t="s">
        <v>10</v>
      </c>
      <c r="D428" s="5">
        <v>90</v>
      </c>
      <c r="E428" s="26">
        <v>4</v>
      </c>
      <c r="F428" s="26">
        <f>ROUND(E428/2, 0)</f>
        <v>2</v>
      </c>
      <c r="G428" s="26">
        <f>E428-F428</f>
        <v>2</v>
      </c>
      <c r="H428" s="26" t="str">
        <f>IF(G428&lt;=0,"To Order", "Ok")</f>
        <v>Ok</v>
      </c>
      <c r="I428" s="6">
        <v>189.7</v>
      </c>
      <c r="J428" s="7" t="s">
        <v>476</v>
      </c>
      <c r="K428" s="7">
        <v>2</v>
      </c>
    </row>
    <row r="429" spans="1:11" s="2" customFormat="1" x14ac:dyDescent="0.2">
      <c r="A429" s="9">
        <v>10800069</v>
      </c>
      <c r="B429" s="4" t="s">
        <v>458</v>
      </c>
      <c r="C429" s="4" t="s">
        <v>16</v>
      </c>
      <c r="D429" s="5">
        <v>0</v>
      </c>
      <c r="E429" s="26"/>
      <c r="F429" s="26">
        <f>ROUND(E429/2, 0)</f>
        <v>0</v>
      </c>
      <c r="G429" s="26">
        <f>E429-F429</f>
        <v>0</v>
      </c>
      <c r="H429" s="26" t="str">
        <f>IF(G429&lt;=0,"To Order", "Ok")</f>
        <v>To Order</v>
      </c>
      <c r="I429" s="6">
        <v>443</v>
      </c>
      <c r="J429" s="7" t="s">
        <v>476</v>
      </c>
      <c r="K429" s="7">
        <v>3</v>
      </c>
    </row>
    <row r="430" spans="1:11" s="2" customFormat="1" x14ac:dyDescent="0.2">
      <c r="A430" s="9">
        <v>11000006</v>
      </c>
      <c r="B430" s="4" t="s">
        <v>459</v>
      </c>
      <c r="C430" s="4" t="s">
        <v>20</v>
      </c>
      <c r="D430" s="5">
        <v>14</v>
      </c>
      <c r="E430" s="26">
        <v>5</v>
      </c>
      <c r="F430" s="26">
        <f>ROUND(E430/2, 0)</f>
        <v>3</v>
      </c>
      <c r="G430" s="26">
        <f>E430-F430</f>
        <v>2</v>
      </c>
      <c r="H430" s="26" t="str">
        <f>IF(G430&lt;=0,"To Order", "Ok")</f>
        <v>Ok</v>
      </c>
      <c r="I430" s="6">
        <v>50.6</v>
      </c>
      <c r="J430" s="7" t="s">
        <v>476</v>
      </c>
      <c r="K430" s="7">
        <v>5</v>
      </c>
    </row>
    <row r="431" spans="1:11" s="2" customFormat="1" x14ac:dyDescent="0.2">
      <c r="A431" s="9">
        <v>11000005</v>
      </c>
      <c r="B431" s="4" t="s">
        <v>460</v>
      </c>
      <c r="C431" s="4" t="s">
        <v>20</v>
      </c>
      <c r="D431" s="5">
        <v>5</v>
      </c>
      <c r="E431" s="26"/>
      <c r="F431" s="26"/>
      <c r="G431" s="26"/>
      <c r="H431" s="26"/>
      <c r="I431" s="6">
        <v>636</v>
      </c>
      <c r="J431" s="7" t="s">
        <v>472</v>
      </c>
      <c r="K431" s="7"/>
    </row>
    <row r="432" spans="1:11" s="2" customFormat="1" x14ac:dyDescent="0.2">
      <c r="A432" s="9">
        <v>12900007</v>
      </c>
      <c r="B432" s="4" t="s">
        <v>461</v>
      </c>
      <c r="C432" s="4" t="s">
        <v>16</v>
      </c>
      <c r="D432" s="5">
        <v>179</v>
      </c>
      <c r="E432" s="26"/>
      <c r="F432" s="26"/>
      <c r="G432" s="26"/>
      <c r="H432" s="26"/>
      <c r="I432" s="6">
        <v>420</v>
      </c>
      <c r="J432" s="7" t="s">
        <v>472</v>
      </c>
      <c r="K432" s="7"/>
    </row>
    <row r="433" spans="1:11" s="2" customFormat="1" x14ac:dyDescent="0.2">
      <c r="A433" s="9">
        <v>11100226</v>
      </c>
      <c r="B433" s="4" t="s">
        <v>462</v>
      </c>
      <c r="C433" s="4" t="s">
        <v>16</v>
      </c>
      <c r="D433" s="5">
        <v>1</v>
      </c>
      <c r="E433" s="26"/>
      <c r="F433" s="26">
        <f>ROUND(E433/2, 0)</f>
        <v>0</v>
      </c>
      <c r="G433" s="26">
        <f>E433-F433</f>
        <v>0</v>
      </c>
      <c r="H433" s="26" t="str">
        <f>IF(G433&lt;=0,"To Order", "Ok")</f>
        <v>To Order</v>
      </c>
      <c r="I433" s="6">
        <v>1200</v>
      </c>
      <c r="J433" s="7" t="s">
        <v>476</v>
      </c>
      <c r="K433" s="7"/>
    </row>
    <row r="434" spans="1:11" s="2" customFormat="1" x14ac:dyDescent="0.2">
      <c r="A434" s="9">
        <v>13300002</v>
      </c>
      <c r="B434" s="4" t="s">
        <v>463</v>
      </c>
      <c r="C434" s="4" t="s">
        <v>16</v>
      </c>
      <c r="D434" s="5">
        <v>12</v>
      </c>
      <c r="E434" s="26"/>
      <c r="F434" s="26"/>
      <c r="G434" s="26"/>
      <c r="H434" s="26"/>
      <c r="I434" s="6">
        <v>580</v>
      </c>
      <c r="J434" s="7" t="s">
        <v>472</v>
      </c>
      <c r="K434" s="7"/>
    </row>
    <row r="435" spans="1:11" s="2" customFormat="1" x14ac:dyDescent="0.2">
      <c r="A435" s="9">
        <v>10800018</v>
      </c>
      <c r="B435" s="4" t="s">
        <v>464</v>
      </c>
      <c r="C435" s="4" t="s">
        <v>16</v>
      </c>
      <c r="D435" s="5">
        <v>11</v>
      </c>
      <c r="E435" s="26"/>
      <c r="F435" s="26">
        <f>ROUND(E435/2, 0)</f>
        <v>0</v>
      </c>
      <c r="G435" s="26">
        <f>E435-F435</f>
        <v>0</v>
      </c>
      <c r="H435" s="26" t="str">
        <f>IF(G435&lt;=0,"To Order", "Ok")</f>
        <v>To Order</v>
      </c>
      <c r="I435" s="6">
        <v>135</v>
      </c>
      <c r="J435" s="7" t="s">
        <v>476</v>
      </c>
      <c r="K435" s="7"/>
    </row>
    <row r="436" spans="1:11" s="2" customFormat="1" x14ac:dyDescent="0.2">
      <c r="A436" s="9"/>
      <c r="B436" s="4" t="s">
        <v>465</v>
      </c>
      <c r="C436" s="4"/>
      <c r="D436" s="5"/>
      <c r="E436" s="26">
        <v>6</v>
      </c>
      <c r="F436" s="26">
        <f>ROUND(E436/2, 0)</f>
        <v>3</v>
      </c>
      <c r="G436" s="26">
        <f>E436-F436</f>
        <v>3</v>
      </c>
      <c r="H436" s="26" t="str">
        <f>IF(G436&lt;=0,"To Order", "Ok")</f>
        <v>Ok</v>
      </c>
      <c r="I436" s="6"/>
      <c r="J436" s="7" t="s">
        <v>476</v>
      </c>
      <c r="K436" s="7"/>
    </row>
    <row r="437" spans="1:11" s="2" customFormat="1" x14ac:dyDescent="0.2">
      <c r="A437" s="9">
        <v>10900011</v>
      </c>
      <c r="B437" s="4" t="s">
        <v>466</v>
      </c>
      <c r="C437" s="4" t="s">
        <v>16</v>
      </c>
      <c r="D437" s="5">
        <v>4</v>
      </c>
      <c r="E437" s="26">
        <v>10</v>
      </c>
      <c r="F437" s="26">
        <f>ROUND(E437/2, 0)</f>
        <v>5</v>
      </c>
      <c r="G437" s="26">
        <f>E437-F437</f>
        <v>5</v>
      </c>
      <c r="H437" s="26" t="str">
        <f>IF(G437&lt;=0,"To Order", "Ok")</f>
        <v>Ok</v>
      </c>
      <c r="I437" s="6">
        <v>460</v>
      </c>
      <c r="J437" s="7" t="s">
        <v>476</v>
      </c>
      <c r="K437" s="7"/>
    </row>
    <row r="438" spans="1:11" s="2" customFormat="1" x14ac:dyDescent="0.2">
      <c r="A438" s="9">
        <v>11200024</v>
      </c>
      <c r="B438" s="4" t="s">
        <v>467</v>
      </c>
      <c r="C438" s="4" t="s">
        <v>16</v>
      </c>
      <c r="D438" s="5">
        <v>26</v>
      </c>
      <c r="E438" s="26">
        <v>14</v>
      </c>
      <c r="F438" s="26">
        <f>ROUND(E438/2, 0)</f>
        <v>7</v>
      </c>
      <c r="G438" s="26">
        <f>E438-F438</f>
        <v>7</v>
      </c>
      <c r="H438" s="26" t="str">
        <f>IF(G438&lt;=0,"To Order", "Ok")</f>
        <v>Ok</v>
      </c>
      <c r="I438" s="6">
        <v>322</v>
      </c>
      <c r="J438" s="7" t="s">
        <v>476</v>
      </c>
      <c r="K438" s="7"/>
    </row>
    <row r="439" spans="1:11" s="2" customFormat="1" x14ac:dyDescent="0.2">
      <c r="A439" s="9">
        <v>11200025</v>
      </c>
      <c r="B439" s="4" t="s">
        <v>468</v>
      </c>
      <c r="C439" s="4" t="s">
        <v>16</v>
      </c>
      <c r="D439" s="5">
        <v>0</v>
      </c>
      <c r="E439" s="26">
        <v>5</v>
      </c>
      <c r="F439" s="26">
        <f>ROUND(E439/2, 0)</f>
        <v>3</v>
      </c>
      <c r="G439" s="26">
        <f>E439-F439</f>
        <v>2</v>
      </c>
      <c r="H439" s="26" t="str">
        <f>IF(G439&lt;=0,"To Order", "Ok")</f>
        <v>Ok</v>
      </c>
      <c r="I439" s="6">
        <v>150</v>
      </c>
      <c r="J439" s="7" t="s">
        <v>476</v>
      </c>
      <c r="K439" s="7"/>
    </row>
    <row r="440" spans="1:11" s="2" customFormat="1" x14ac:dyDescent="0.2">
      <c r="A440" s="9">
        <v>10100044</v>
      </c>
      <c r="B440" s="4" t="s">
        <v>469</v>
      </c>
      <c r="C440" s="4" t="s">
        <v>16</v>
      </c>
      <c r="D440" s="5">
        <v>0</v>
      </c>
      <c r="E440" s="26"/>
      <c r="F440" s="26"/>
      <c r="G440" s="26"/>
      <c r="H440" s="26"/>
      <c r="I440" s="6">
        <v>100</v>
      </c>
      <c r="J440" s="7" t="s">
        <v>471</v>
      </c>
      <c r="K440" s="7"/>
    </row>
    <row r="441" spans="1:11" s="2" customFormat="1" ht="14.1" customHeight="1" thickBot="1" x14ac:dyDescent="0.25">
      <c r="A441" s="10" t="s">
        <v>0</v>
      </c>
      <c r="B441" s="11" t="s">
        <v>0</v>
      </c>
      <c r="C441" s="8" t="s">
        <v>0</v>
      </c>
      <c r="D441" s="12" t="s">
        <v>0</v>
      </c>
      <c r="E441" s="27"/>
      <c r="F441" s="27"/>
      <c r="G441" s="27"/>
      <c r="H441" s="27"/>
      <c r="I441" s="13" t="s">
        <v>6</v>
      </c>
      <c r="J441" s="14"/>
      <c r="K441" s="7"/>
    </row>
  </sheetData>
  <autoFilter ref="A1:K441"/>
  <pageMargins left="0.7" right="0.7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10"/>
  <sheetViews>
    <sheetView showGridLines="0" workbookViewId="0"/>
  </sheetViews>
  <sheetFormatPr defaultRowHeight="12.75" x14ac:dyDescent="0.2"/>
  <cols>
    <col min="1" max="1" width="1.140625" customWidth="1"/>
    <col min="2" max="2" width="64.42578125" customWidth="1"/>
    <col min="3" max="3" width="1.5703125" customWidth="1"/>
    <col min="4" max="4" width="5.5703125" customWidth="1"/>
    <col min="5" max="6" width="16" customWidth="1"/>
  </cols>
  <sheetData>
    <row r="1" spans="2:6" x14ac:dyDescent="0.2">
      <c r="B1" s="35" t="s">
        <v>481</v>
      </c>
      <c r="C1" s="35"/>
      <c r="D1" s="39"/>
      <c r="E1" s="39"/>
      <c r="F1" s="39"/>
    </row>
    <row r="2" spans="2:6" x14ac:dyDescent="0.2">
      <c r="B2" s="35" t="s">
        <v>482</v>
      </c>
      <c r="C2" s="35"/>
      <c r="D2" s="39"/>
      <c r="E2" s="39"/>
      <c r="F2" s="39"/>
    </row>
    <row r="3" spans="2:6" x14ac:dyDescent="0.2">
      <c r="B3" s="36"/>
      <c r="C3" s="36"/>
      <c r="D3" s="40"/>
      <c r="E3" s="40"/>
      <c r="F3" s="40"/>
    </row>
    <row r="4" spans="2:6" ht="25.5" x14ac:dyDescent="0.2">
      <c r="B4" s="36" t="s">
        <v>483</v>
      </c>
      <c r="C4" s="36"/>
      <c r="D4" s="40"/>
      <c r="E4" s="40"/>
      <c r="F4" s="40"/>
    </row>
    <row r="5" spans="2:6" x14ac:dyDescent="0.2">
      <c r="B5" s="36"/>
      <c r="C5" s="36"/>
      <c r="D5" s="40"/>
      <c r="E5" s="40"/>
      <c r="F5" s="40"/>
    </row>
    <row r="6" spans="2:6" x14ac:dyDescent="0.2">
      <c r="B6" s="35" t="s">
        <v>484</v>
      </c>
      <c r="C6" s="35"/>
      <c r="D6" s="39"/>
      <c r="E6" s="39" t="s">
        <v>485</v>
      </c>
      <c r="F6" s="39" t="s">
        <v>486</v>
      </c>
    </row>
    <row r="7" spans="2:6" ht="13.5" thickBot="1" x14ac:dyDescent="0.25">
      <c r="B7" s="36"/>
      <c r="C7" s="36"/>
      <c r="D7" s="40"/>
      <c r="E7" s="40"/>
      <c r="F7" s="40"/>
    </row>
    <row r="8" spans="2:6" ht="39" thickBot="1" x14ac:dyDescent="0.25">
      <c r="B8" s="37" t="s">
        <v>487</v>
      </c>
      <c r="C8" s="38"/>
      <c r="D8" s="41"/>
      <c r="E8" s="41">
        <v>1</v>
      </c>
      <c r="F8" s="42" t="s">
        <v>488</v>
      </c>
    </row>
    <row r="9" spans="2:6" x14ac:dyDescent="0.2">
      <c r="B9" s="36"/>
      <c r="C9" s="36"/>
      <c r="D9" s="40"/>
      <c r="E9" s="40"/>
      <c r="F9" s="40"/>
    </row>
    <row r="10" spans="2:6" x14ac:dyDescent="0.2">
      <c r="B10" s="36"/>
      <c r="C10" s="36"/>
      <c r="D10" s="40"/>
      <c r="E10" s="40"/>
      <c r="F1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26 9 2023</vt:lpstr>
      <vt:lpstr>Compatibility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Chef HB</dc:creator>
  <cp:lastModifiedBy>Kennedy M</cp:lastModifiedBy>
  <cp:lastPrinted>2023-09-26T06:14:21Z</cp:lastPrinted>
  <dcterms:created xsi:type="dcterms:W3CDTF">2023-09-19T07:30:42Z</dcterms:created>
  <dcterms:modified xsi:type="dcterms:W3CDTF">2023-10-02T08:16:30Z</dcterms:modified>
</cp:coreProperties>
</file>